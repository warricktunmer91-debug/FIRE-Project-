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Share Portfolio" sheetId="3" state="visible" r:id="rId5"/>
    <sheet name="Super" sheetId="4" state="visible" r:id="rId6"/>
    <sheet name="Mortgage" sheetId="5" state="visible" r:id="rId7"/>
    <sheet name="Stress Tes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<sst xmlns="http://schemas.openxmlformats.org/spreadsheetml/2006/main" count="320" uniqueCount="179">
  <si>
    <t xml:space="preserve">FIRE PLAN — SUMMARY DASHBOARD</t>
  </si>
  <si>
    <t xml:space="preserve">KEY MILESTONES</t>
  </si>
  <si>
    <t xml:space="preserve">Milestone</t>
  </si>
  <si>
    <t xml:space="preserve">Shares</t>
  </si>
  <si>
    <t xml:space="preserve">Super</t>
  </si>
  <si>
    <t xml:space="preserve">Combined</t>
  </si>
  <si>
    <t xml:space="preserve">Notes</t>
  </si>
  <si>
    <t xml:space="preserve">Age 45 — Part-Time Starts</t>
  </si>
  <si>
    <t xml:space="preserve">Income drops ~50%</t>
  </si>
  <si>
    <t xml:space="preserve">Age 50 — Retire</t>
  </si>
  <si>
    <t xml:space="preserve">★ Target retirement</t>
  </si>
  <si>
    <t xml:space="preserve">Age 55</t>
  </si>
  <si>
    <t xml:space="preserve">Age 60 — Super Unlocks + Payoff</t>
  </si>
  <si>
    <t xml:space="preserve">★ Debt-free milestone</t>
  </si>
  <si>
    <t xml:space="preserve">Age 65</t>
  </si>
  <si>
    <t xml:space="preserve">RETIREMENT METRICS</t>
  </si>
  <si>
    <t xml:space="preserve">Annual Drawdown at Retirement (age 51)</t>
  </si>
  <si>
    <t xml:space="preserve">Withdrawal Rate (drawdown ÷ share portfolio at 50)</t>
  </si>
  <si>
    <t xml:space="preserve">Mortgage Lump Sum Payoff at Age 60</t>
  </si>
  <si>
    <t xml:space="preserve">Annual Saving Once Mortgage Paid Off</t>
  </si>
  <si>
    <t xml:space="preserve">RENOVATION &amp; REDRAW SCHEDULE</t>
  </si>
  <si>
    <t xml:space="preserve">Item</t>
  </si>
  <si>
    <t xml:space="preserve">Year</t>
  </si>
  <si>
    <t xml:space="preserve">Age</t>
  </si>
  <si>
    <t xml:space="preserve">Cost</t>
  </si>
  <si>
    <t xml:space="preserve">Funded By</t>
  </si>
  <si>
    <t xml:space="preserve">Pool Resurfacing</t>
  </si>
  <si>
    <t xml:space="preserve">Savings</t>
  </si>
  <si>
    <t xml:space="preserve">4x4 — Payment 1</t>
  </si>
  <si>
    <t xml:space="preserve">Shed + Golf Simulator</t>
  </si>
  <si>
    <t xml:space="preserve">Mortgage Redraw</t>
  </si>
  <si>
    <t xml:space="preserve">Master Bedroom + Bathroom</t>
  </si>
  <si>
    <t xml:space="preserve">4x4 — Payment 2</t>
  </si>
  <si>
    <t xml:space="preserve">Driveway + Fencing</t>
  </si>
  <si>
    <t xml:space="preserve">Total Mortgage Redraws</t>
  </si>
  <si>
    <t xml:space="preserve">Impact on lump sum payoff</t>
  </si>
  <si>
    <t xml:space="preserve">ASSUMPTIONS SNAPSHOT (change in Assumptions sheet)</t>
  </si>
  <si>
    <t xml:space="preserve">Monthly Income (your half)</t>
  </si>
  <si>
    <t xml:space="preserve">Annual Bonus (net)</t>
  </si>
  <si>
    <t xml:space="preserve">Income Growth Rate</t>
  </si>
  <si>
    <t xml:space="preserve">Mortgage (your half/mo)</t>
  </si>
  <si>
    <t xml:space="preserve">Bills (your half/mo, year 1)</t>
  </si>
  <si>
    <t xml:space="preserve">Share Return</t>
  </si>
  <si>
    <t xml:space="preserve">Super Return</t>
  </si>
  <si>
    <t xml:space="preserve">Starting Shares</t>
  </si>
  <si>
    <t xml:space="preserve">Starting Super</t>
  </si>
  <si>
    <t xml:space="preserve">FIRE PLAN — ASSUMPTIONS (change blue cells to update entire model)</t>
  </si>
  <si>
    <t xml:space="preserve">PERSONAL</t>
  </si>
  <si>
    <t xml:space="preserve">current_age</t>
  </si>
  <si>
    <t xml:space="preserve">your current age</t>
  </si>
  <si>
    <t xml:space="preserve">pt_start_yr</t>
  </si>
  <si>
    <t xml:space="preserve">part-time starts year 10 = age 45</t>
  </si>
  <si>
    <t xml:space="preserve">retire_yr</t>
  </si>
  <si>
    <t xml:space="preserve">retire year 15 = age 50</t>
  </si>
  <si>
    <t xml:space="preserve">super_access_age</t>
  </si>
  <si>
    <t xml:space="preserve">super preservation age</t>
  </si>
  <si>
    <t xml:space="preserve">INCOME (YOUR HALF)</t>
  </si>
  <si>
    <t xml:space="preserve">income_mo</t>
  </si>
  <si>
    <t xml:space="preserve">4mo x $8,500 + 8mo x $9,500 ÷ 12</t>
  </si>
  <si>
    <t xml:space="preserve">bonus_net</t>
  </si>
  <si>
    <t xml:space="preserve">annual bonus net of tax, ready to invest</t>
  </si>
  <si>
    <t xml:space="preserve">income_growth</t>
  </si>
  <si>
    <t xml:space="preserve">salary &amp; bonus grow at this rate per year</t>
  </si>
  <si>
    <t xml:space="preserve">MONTHLY EXPENSES (YOUR HALF)</t>
  </si>
  <si>
    <t xml:space="preserve">mortgage_half</t>
  </si>
  <si>
    <t xml:space="preserve">half of $5,760 combined repayment</t>
  </si>
  <si>
    <t xml:space="preserve">bills_half</t>
  </si>
  <si>
    <t xml:space="preserve">half of $4,200 combined, grows at bills_growth</t>
  </si>
  <si>
    <t xml:space="preserve">bills_growth</t>
  </si>
  <si>
    <t xml:space="preserve">bills inflation rate</t>
  </si>
  <si>
    <t xml:space="preserve">spending_mo</t>
  </si>
  <si>
    <t xml:space="preserve">personal discretionary spending</t>
  </si>
  <si>
    <t xml:space="preserve">dates_mo</t>
  </si>
  <si>
    <t xml:space="preserve">date nights</t>
  </si>
  <si>
    <t xml:space="preserve">holidays_mo</t>
  </si>
  <si>
    <t xml:space="preserve">half of $15,000/yr holidays</t>
  </si>
  <si>
    <t xml:space="preserve">lifestyle_growth</t>
  </si>
  <si>
    <t xml:space="preserve">spending / dates / holidays inflation rate</t>
  </si>
  <si>
    <t xml:space="preserve">savings_mo</t>
  </si>
  <si>
    <t xml:space="preserve">monthly amount invested into share portfolio</t>
  </si>
  <si>
    <t xml:space="preserve">cash_savings_mo</t>
  </si>
  <si>
    <t xml:space="preserve">monthly cash savings to offset — NOT invested in shares</t>
  </si>
  <si>
    <t xml:space="preserve">SUPERANNUATION</t>
  </si>
  <si>
    <t xml:space="preserve">super_employer_y1</t>
  </si>
  <si>
    <t xml:space="preserve">year 1 employer SG (12% of $137,774 gross — from payslip)</t>
  </si>
  <si>
    <t xml:space="preserve">super_employer_y2</t>
  </si>
  <si>
    <t xml:space="preserve">year 2+ employer SG (12.5% of $137,774 gross), grows with income</t>
  </si>
  <si>
    <t xml:space="preserve">super_return</t>
  </si>
  <si>
    <t xml:space="preserve">super fund annual return</t>
  </si>
  <si>
    <t xml:space="preserve">super_personal</t>
  </si>
  <si>
    <t xml:space="preserve">personal concessional contribution from year 6</t>
  </si>
  <si>
    <t xml:space="preserve">STARTING BALANCES</t>
  </si>
  <si>
    <t xml:space="preserve">shares_start</t>
  </si>
  <si>
    <t xml:space="preserve">current share portfolio</t>
  </si>
  <si>
    <t xml:space="preserve">super_start</t>
  </si>
  <si>
    <t xml:space="preserve">current super balance</t>
  </si>
  <si>
    <t xml:space="preserve">shares_return</t>
  </si>
  <si>
    <t xml:space="preserve">share portfolio annual return</t>
  </si>
  <si>
    <t xml:space="preserve">ONE-OFF COSTS FROM SAVINGS</t>
  </si>
  <si>
    <t xml:space="preserve">pool_cost</t>
  </si>
  <si>
    <t xml:space="preserve">pool — year 2 (age 37)</t>
  </si>
  <si>
    <t xml:space="preserve">fourwd_1</t>
  </si>
  <si>
    <t xml:space="preserve">4x4 first payment — year 3 (age 38)</t>
  </si>
  <si>
    <t xml:space="preserve">fourwd_2</t>
  </si>
  <si>
    <t xml:space="preserve">4x4 second payment — year 4 (age 39)</t>
  </si>
  <si>
    <t xml:space="preserve">MORTGAGE REDRAWS (added to mortgage balance)</t>
  </si>
  <si>
    <t xml:space="preserve">shed_redraw</t>
  </si>
  <si>
    <t xml:space="preserve">shed + golf simulator — year 3 (age 38)</t>
  </si>
  <si>
    <t xml:space="preserve">bedroom_redraw</t>
  </si>
  <si>
    <t xml:space="preserve">master bedroom + bathroom — year 4 (age 39)</t>
  </si>
  <si>
    <t xml:space="preserve">driveway_redraw</t>
  </si>
  <si>
    <t xml:space="preserve">driveway + fencing — year 15 (age 50)</t>
  </si>
  <si>
    <t xml:space="preserve">MORTGAGE DETAILS</t>
  </si>
  <si>
    <t xml:space="preserve">mort_repay_combined</t>
  </si>
  <si>
    <t xml:space="preserve">combined monthly repayment (both halves)</t>
  </si>
  <si>
    <t xml:space="preserve">mort_rate</t>
  </si>
  <si>
    <t xml:space="preserve">annual interest rate</t>
  </si>
  <si>
    <t xml:space="preserve">Mortgage Lump Sum Payoff (age 60, yr 25)</t>
  </si>
  <si>
    <t xml:space="preserve">Balance at end yr 24 — recalculate if assumptions change</t>
  </si>
  <si>
    <t xml:space="preserve">MORTGAGE CALCULATIONS (auto-calculated)</t>
  </si>
  <si>
    <t xml:space="preserve">Starting Mortgage Balance (calculated)</t>
  </si>
  <si>
    <t xml:space="preserve">derived from repayment amount &amp; rate</t>
  </si>
  <si>
    <t xml:space="preserve">Lump Sum Payoff at Age 60 (Year 25)</t>
  </si>
  <si>
    <t xml:space="preserve">linked from Mortgage sheet F3</t>
  </si>
  <si>
    <t xml:space="preserve">SHARE PORTFOLIO PROJECTION</t>
  </si>
  <si>
    <t xml:space="preserve">Yr</t>
  </si>
  <si>
    <t xml:space="preserve">Phase</t>
  </si>
  <si>
    <t xml:space="preserve">Opening</t>
  </si>
  <si>
    <t xml:space="preserve">Growth</t>
  </si>
  <si>
    <t xml:space="preserve">Contrib (FT)</t>
  </si>
  <si>
    <t xml:space="preserve">Drawdown (PT)</t>
  </si>
  <si>
    <t xml:space="preserve">Drawdown (Ret)</t>
  </si>
  <si>
    <t xml:space="preserve">Closing</t>
  </si>
  <si>
    <t xml:space="preserve">4% Rule</t>
  </si>
  <si>
    <t xml:space="preserve">Full Time</t>
  </si>
  <si>
    <t xml:space="preserve">0</t>
  </si>
  <si>
    <t xml:space="preserve">Part Time</t>
  </si>
  <si>
    <t xml:space="preserve">Retired</t>
  </si>
  <si>
    <t xml:space="preserve">Retired ★ PAYOFF</t>
  </si>
  <si>
    <t xml:space="preserve">SUPER PROJECTION</t>
  </si>
  <si>
    <t xml:space="preserve">Employer SG</t>
  </si>
  <si>
    <t xml:space="preserve">Personal</t>
  </si>
  <si>
    <t xml:space="preserve">Total In</t>
  </si>
  <si>
    <t xml:space="preserve">MORTGAGE AMORTISATION TRACKER</t>
  </si>
  <si>
    <t xml:space="preserve">Lump Sum Payoff at Age 60 (Year 25):</t>
  </si>
  <si>
    <t xml:space="preserve">Reference cell (used by Share Portfolio sheet):</t>
  </si>
  <si>
    <t xml:space="preserve">NOTE: If you change mortgage assumptions, update the lump sum in F2 and F3 manually (or re-run model)</t>
  </si>
  <si>
    <t xml:space="preserve">Redraws</t>
  </si>
  <si>
    <t xml:space="preserve">Payments</t>
  </si>
  <si>
    <t xml:space="preserve">Shed+Golf redraw $80k</t>
  </si>
  <si>
    <t xml:space="preserve">Bedroom+Bath redraw $60k</t>
  </si>
  <si>
    <t xml:space="preserve">STRESS TEST SCENARIOS</t>
  </si>
  <si>
    <t xml:space="preserve">Base: $9,167/mo income | $20k bonus | $2,880 mortgage | $2,000 bills | 10% shares | 8% super | Retire 50</t>
  </si>
  <si>
    <t xml:space="preserve">Note: These scenarios use fixed assumptions. Update the base case in the Assumptions sheet to flow through to projections.</t>
  </si>
  <si>
    <t xml:space="preserve">Scenario</t>
  </si>
  <si>
    <t xml:space="preserve">Retire
Age</t>
  </si>
  <si>
    <t xml:space="preserve">Shares
Return</t>
  </si>
  <si>
    <t xml:space="preserve">Bonus
(net)</t>
  </si>
  <si>
    <t xml:space="preserve">Shares
@45</t>
  </si>
  <si>
    <t xml:space="preserve">Shares
@Retire</t>
  </si>
  <si>
    <t xml:space="preserve">Super
@Retire</t>
  </si>
  <si>
    <t xml:space="preserve">Annual
Drawdown</t>
  </si>
  <si>
    <t xml:space="preserve">W/R %</t>
  </si>
  <si>
    <t xml:space="preserve">Min Shares</t>
  </si>
  <si>
    <t xml:space="preserve">Combined
@60</t>
  </si>
  <si>
    <t xml:space="preserve">Result</t>
  </si>
  <si>
    <t xml:space="preserve">BASE CASE</t>
  </si>
  <si>
    <t xml:space="preserve">✅ OK</t>
  </si>
  <si>
    <t xml:space="preserve">7% Returns</t>
  </si>
  <si>
    <t xml:space="preserve">❌ FAIL</t>
  </si>
  <si>
    <t xml:space="preserve">$10k Bonus</t>
  </si>
  <si>
    <t xml:space="preserve">Retire Age 52</t>
  </si>
  <si>
    <t xml:space="preserve">7% + $10k Bonus</t>
  </si>
  <si>
    <t xml:space="preserve">7% + Retire 52</t>
  </si>
  <si>
    <t xml:space="preserve">Worst Case (all)</t>
  </si>
  <si>
    <t xml:space="preserve">LEGEND</t>
  </si>
  <si>
    <t xml:space="preserve">Green — W/R &lt; 5% (very safe)</t>
  </si>
  <si>
    <t xml:space="preserve">Amber — W/R 5–7% (acceptable, portfolio grows)</t>
  </si>
  <si>
    <t xml:space="preserve">Red — W/R &gt; 7% or portfolio fails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</si>
</sst>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;\(0.0%\);\-"/>
    <numFmt numFmtId="167" formatCode="0.0%"/>
    <numFmt numFmtId="168" formatCode="#,##0"/>
    <numFmt numFmtId="169" formatCode="\$#,##0;&quot;($&quot;#,##0\);\-"/>
    <numFmt numFmtId="170" formatCode="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DEEFF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DDEEFF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64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18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customFormat="false" ht="15" hidden="false" customHeight="true" outlineLevel="0" collapsed="false">
      <c r="A5" s="6" t="s">
        <v>7</v>
      </c>
      <c r="B5" s="7" t="n">
        <f aca="false">'Share Portfolio'!H12</f>
        <v>1350306.19957949</v>
      </c>
      <c r="C5" s="7" t="n">
        <f aca="false">Super!H12</f>
        <v>699899.273770805</v>
      </c>
      <c r="D5" s="8" t="n">
        <f aca="false">B5+C5</f>
        <v>2050205.47335029</v>
      </c>
      <c r="E5" s="9" t="s">
        <v>8</v>
      </c>
    </row>
    <row r="6" customFormat="false" ht="15" hidden="false" customHeight="true" outlineLevel="0" collapsed="false">
      <c r="A6" s="10" t="s">
        <v>9</v>
      </c>
      <c r="B6" s="11" t="n">
        <f aca="false">'Share Portfolio'!H17</f>
        <v>2001446.03694665</v>
      </c>
      <c r="C6" s="11" t="n">
        <f aca="false">Super!H17</f>
        <v>1134073.74616556</v>
      </c>
      <c r="D6" s="12" t="n">
        <f aca="false">B6+C6</f>
        <v>3135519.78311221</v>
      </c>
      <c r="E6" s="13" t="s">
        <v>10</v>
      </c>
    </row>
    <row r="7" customFormat="false" ht="15" hidden="false" customHeight="true" outlineLevel="0" collapsed="false">
      <c r="A7" s="14" t="s">
        <v>11</v>
      </c>
      <c r="B7" s="15" t="n">
        <f aca="false">'Share Portfolio'!H22</f>
        <v>2569459.75321557</v>
      </c>
      <c r="C7" s="15" t="n">
        <f aca="false">Super!H22</f>
        <v>1666326.39640282</v>
      </c>
      <c r="D7" s="16" t="n">
        <f aca="false">B7+C7</f>
        <v>4235786.14961839</v>
      </c>
      <c r="E7" s="9"/>
    </row>
    <row r="8" customFormat="false" ht="15" hidden="false" customHeight="true" outlineLevel="0" collapsed="false">
      <c r="A8" s="13" t="s">
        <v>12</v>
      </c>
      <c r="B8" s="17" t="n">
        <f aca="false">'Share Portfolio'!H27</f>
        <v>2611031.53796848</v>
      </c>
      <c r="C8" s="17" t="n">
        <f aca="false">Super!H27</f>
        <v>2448380.15934762</v>
      </c>
      <c r="D8" s="18" t="n">
        <f aca="false">B8+C8</f>
        <v>5059411.69731611</v>
      </c>
      <c r="E8" s="13" t="s">
        <v>13</v>
      </c>
    </row>
    <row r="9" customFormat="false" ht="15" hidden="false" customHeight="true" outlineLevel="0" collapsed="false">
      <c r="A9" s="14" t="s">
        <v>14</v>
      </c>
      <c r="B9" s="15" t="n">
        <f aca="false">'Share Portfolio'!H32</f>
        <v>3609876.07416604</v>
      </c>
      <c r="C9" s="15" t="n">
        <f aca="false">Super!H32</f>
        <v>3597473.71080952</v>
      </c>
      <c r="D9" s="16" t="n">
        <f aca="false">B9+C9</f>
        <v>7207349.78497556</v>
      </c>
      <c r="E9" s="9"/>
    </row>
    <row r="11" customFormat="false" ht="15" hidden="false" customHeight="true" outlineLevel="0" collapsed="false">
      <c r="A11" s="3" t="s">
        <v>15</v>
      </c>
      <c r="B11" s="3"/>
      <c r="C11" s="3"/>
      <c r="D11" s="3"/>
      <c r="E11" s="3"/>
    </row>
    <row r="12" customFormat="false" ht="15" hidden="false" customHeight="true" outlineLevel="0" collapsed="false">
      <c r="A12" s="9" t="s">
        <v>16</v>
      </c>
      <c r="B12" s="7" t="n">
        <f aca="false">'Share Portfolio'!G18</f>
        <v>103266.363072094</v>
      </c>
    </row>
    <row r="13" customFormat="false" ht="15" hidden="false" customHeight="true" outlineLevel="0" collapsed="false">
      <c r="A13" s="9" t="s">
        <v>17</v>
      </c>
      <c r="B13" s="19" t="n">
        <f aca="false">'Share Portfolio'!G18/'Share Portfolio'!H17</f>
        <v>0.0515958767639991</v>
      </c>
    </row>
    <row r="14" customFormat="false" ht="15" hidden="false" customHeight="true" outlineLevel="0" collapsed="false">
      <c r="A14" s="9" t="s">
        <v>18</v>
      </c>
      <c r="B14" s="7" t="n">
        <f aca="false">Assumptions!B47</f>
        <v>802678</v>
      </c>
    </row>
    <row r="15" customFormat="false" ht="15" hidden="false" customHeight="true" outlineLevel="0" collapsed="false">
      <c r="A15" s="9" t="s">
        <v>19</v>
      </c>
      <c r="B15" s="20" t="n">
        <f aca="false">Assumptions!$B$15*12</f>
        <v>34560</v>
      </c>
    </row>
    <row r="17" customFormat="false" ht="15" hidden="false" customHeight="true" outlineLevel="0" collapsed="false">
      <c r="A17" s="3" t="s">
        <v>20</v>
      </c>
      <c r="B17" s="3"/>
      <c r="C17" s="3"/>
      <c r="D17" s="3"/>
      <c r="E17" s="3"/>
    </row>
    <row r="18" customFormat="false" ht="15" hidden="false" customHeight="true" outlineLevel="0" collapsed="false">
      <c r="A18" s="4" t="s">
        <v>21</v>
      </c>
      <c r="B18" s="5" t="s">
        <v>22</v>
      </c>
      <c r="C18" s="5" t="s">
        <v>23</v>
      </c>
      <c r="D18" s="5" t="s">
        <v>24</v>
      </c>
      <c r="E18" s="5" t="s">
        <v>25</v>
      </c>
    </row>
    <row r="19" customFormat="false" ht="15" hidden="false" customHeight="true" outlineLevel="0" collapsed="false">
      <c r="A19" s="9" t="s">
        <v>26</v>
      </c>
      <c r="B19" s="21" t="n">
        <v>2</v>
      </c>
      <c r="C19" s="21" t="n">
        <v>37</v>
      </c>
      <c r="D19" s="22" t="n">
        <f aca="false">Assumptions!$B$35</f>
        <v>10000</v>
      </c>
      <c r="E19" s="9" t="s">
        <v>27</v>
      </c>
    </row>
    <row r="20" customFormat="false" ht="15" hidden="false" customHeight="true" outlineLevel="0" collapsed="false">
      <c r="A20" s="9" t="s">
        <v>28</v>
      </c>
      <c r="B20" s="21" t="n">
        <v>3</v>
      </c>
      <c r="C20" s="21" t="n">
        <v>38</v>
      </c>
      <c r="D20" s="22" t="n">
        <f aca="false">Assumptions!$B$36</f>
        <v>7500</v>
      </c>
      <c r="E20" s="9" t="s">
        <v>27</v>
      </c>
    </row>
    <row r="21" customFormat="false" ht="15" hidden="false" customHeight="true" outlineLevel="0" collapsed="false">
      <c r="A21" s="6" t="s">
        <v>29</v>
      </c>
      <c r="B21" s="23" t="n">
        <v>3</v>
      </c>
      <c r="C21" s="23" t="n">
        <v>38</v>
      </c>
      <c r="D21" s="24" t="n">
        <f aca="false">Assumptions!$B$40</f>
        <v>80000</v>
      </c>
      <c r="E21" s="6" t="s">
        <v>30</v>
      </c>
    </row>
    <row r="22" customFormat="false" ht="15" hidden="false" customHeight="true" outlineLevel="0" collapsed="false">
      <c r="A22" s="6" t="s">
        <v>31</v>
      </c>
      <c r="B22" s="23" t="n">
        <v>4</v>
      </c>
      <c r="C22" s="23" t="n">
        <v>39</v>
      </c>
      <c r="D22" s="24" t="n">
        <f aca="false">Assumptions!$B$41</f>
        <v>60000</v>
      </c>
      <c r="E22" s="6" t="s">
        <v>30</v>
      </c>
    </row>
    <row r="23" customFormat="false" ht="15" hidden="false" customHeight="true" outlineLevel="0" collapsed="false">
      <c r="A23" s="9" t="s">
        <v>32</v>
      </c>
      <c r="B23" s="21" t="n">
        <v>4</v>
      </c>
      <c r="C23" s="21" t="n">
        <v>39</v>
      </c>
      <c r="D23" s="22" t="n">
        <f aca="false">Assumptions!$B$37</f>
        <v>7500</v>
      </c>
      <c r="E23" s="9" t="s">
        <v>27</v>
      </c>
    </row>
    <row r="24" customFormat="false" ht="15" hidden="false" customHeight="true" outlineLevel="0" collapsed="false">
      <c r="A24" s="6" t="s">
        <v>33</v>
      </c>
      <c r="B24" s="23" t="n">
        <v>15</v>
      </c>
      <c r="C24" s="23" t="n">
        <v>50</v>
      </c>
      <c r="D24" s="24" t="n">
        <f aca="false">Assumptions!$B$42</f>
        <v>45000</v>
      </c>
      <c r="E24" s="6" t="s">
        <v>30</v>
      </c>
    </row>
    <row r="25" customFormat="false" ht="15" hidden="false" customHeight="true" outlineLevel="0" collapsed="false">
      <c r="A25" s="4" t="s">
        <v>34</v>
      </c>
      <c r="D25" s="16" t="n">
        <f aca="false">Assumptions!$B$40+Assumptions!$B$41+Assumptions!$B$42</f>
        <v>185000</v>
      </c>
      <c r="E25" s="14" t="s">
        <v>35</v>
      </c>
    </row>
    <row r="27" customFormat="false" ht="15" hidden="false" customHeight="true" outlineLevel="0" collapsed="false">
      <c r="A27" s="3" t="s">
        <v>36</v>
      </c>
      <c r="B27" s="3"/>
      <c r="C27" s="3"/>
      <c r="D27" s="3"/>
      <c r="E27" s="3"/>
    </row>
    <row r="28" customFormat="false" ht="15" hidden="false" customHeight="true" outlineLevel="0" collapsed="false">
      <c r="A28" s="9" t="s">
        <v>37</v>
      </c>
      <c r="B28" s="22" t="n">
        <f aca="false">Assumptions!$B$10</f>
        <v>9167</v>
      </c>
    </row>
    <row r="29" customFormat="false" ht="15" hidden="false" customHeight="true" outlineLevel="0" collapsed="false">
      <c r="A29" s="9" t="s">
        <v>38</v>
      </c>
      <c r="B29" s="22" t="n">
        <f aca="false">Assumptions!$B$11</f>
        <v>20000</v>
      </c>
    </row>
    <row r="30" customFormat="false" ht="15" hidden="false" customHeight="true" outlineLevel="0" collapsed="false">
      <c r="A30" s="9" t="s">
        <v>39</v>
      </c>
      <c r="B30" s="25" t="n">
        <f aca="false">Assumptions!$B$12</f>
        <v>0.03</v>
      </c>
    </row>
    <row r="31" customFormat="false" ht="15" hidden="false" customHeight="true" outlineLevel="0" collapsed="false">
      <c r="A31" s="9" t="s">
        <v>40</v>
      </c>
      <c r="B31" s="22" t="n">
        <f aca="false">Assumptions!$B$15</f>
        <v>2880</v>
      </c>
    </row>
    <row r="32" customFormat="false" ht="15" hidden="false" customHeight="true" outlineLevel="0" collapsed="false">
      <c r="A32" s="9" t="s">
        <v>41</v>
      </c>
      <c r="B32" s="22" t="n">
        <f aca="false">Assumptions!$B$16</f>
        <v>2100</v>
      </c>
    </row>
    <row r="33" customFormat="false" ht="15" hidden="false" customHeight="true" outlineLevel="0" collapsed="false">
      <c r="A33" s="9" t="s">
        <v>42</v>
      </c>
      <c r="B33" s="25" t="n">
        <f aca="false">Assumptions!$B$32</f>
        <v>0.1</v>
      </c>
    </row>
    <row r="34" customFormat="false" ht="15" hidden="false" customHeight="true" outlineLevel="0" collapsed="false">
      <c r="A34" s="9" t="s">
        <v>43</v>
      </c>
      <c r="B34" s="25" t="n">
        <f aca="false">Assumptions!$B$27</f>
        <v>0.08</v>
      </c>
    </row>
    <row r="35" customFormat="false" ht="15" hidden="false" customHeight="true" outlineLevel="0" collapsed="false">
      <c r="A35" s="9" t="s">
        <v>44</v>
      </c>
      <c r="B35" s="22" t="n">
        <f aca="false">Assumptions!$B$30</f>
        <v>297000</v>
      </c>
    </row>
    <row r="36" customFormat="false" ht="15" hidden="false" customHeight="true" outlineLevel="0" collapsed="false">
      <c r="A36" s="9" t="s">
        <v>45</v>
      </c>
      <c r="B36" s="22" t="n">
        <f aca="false">Assumptions!$B$31</f>
        <v>176000</v>
      </c>
    </row>
  </sheetData>
  <mergeCells count="5">
    <mergeCell ref="A1:E1"/>
    <mergeCell ref="A3:E3"/>
    <mergeCell ref="A11:E11"/>
    <mergeCell ref="A17:E17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3" min="3" style="1" width="40"/>
  </cols>
  <sheetData>
    <row r="1" customFormat="false" ht="19.5" hidden="false" customHeight="true" outlineLevel="0" collapsed="false">
      <c r="A1" s="26" t="s">
        <v>46</v>
      </c>
      <c r="B1" s="26"/>
      <c r="C1" s="26"/>
    </row>
    <row r="3" customFormat="false" ht="15" hidden="false" customHeight="true" outlineLevel="0" collapsed="false">
      <c r="A3" s="3" t="s">
        <v>47</v>
      </c>
      <c r="B3" s="3"/>
      <c r="C3" s="3"/>
    </row>
    <row r="4" customFormat="false" ht="15" hidden="false" customHeight="true" outlineLevel="0" collapsed="false">
      <c r="A4" s="9" t="s">
        <v>48</v>
      </c>
      <c r="B4" s="27" t="n">
        <v>35</v>
      </c>
      <c r="C4" s="28" t="s">
        <v>49</v>
      </c>
    </row>
    <row r="5" customFormat="false" ht="15" hidden="false" customHeight="true" outlineLevel="0" collapsed="false">
      <c r="A5" s="9" t="s">
        <v>50</v>
      </c>
      <c r="B5" s="27" t="n">
        <v>10</v>
      </c>
      <c r="C5" s="28" t="s">
        <v>51</v>
      </c>
    </row>
    <row r="6" customFormat="false" ht="15" hidden="false" customHeight="true" outlineLevel="0" collapsed="false">
      <c r="A6" s="9" t="s">
        <v>52</v>
      </c>
      <c r="B6" s="27" t="n">
        <v>15</v>
      </c>
      <c r="C6" s="28" t="s">
        <v>53</v>
      </c>
    </row>
    <row r="7" customFormat="false" ht="15" hidden="false" customHeight="true" outlineLevel="0" collapsed="false">
      <c r="A7" s="9" t="s">
        <v>54</v>
      </c>
      <c r="B7" s="27" t="n">
        <v>60</v>
      </c>
      <c r="C7" s="28" t="s">
        <v>55</v>
      </c>
    </row>
    <row r="9" customFormat="false" ht="15" hidden="false" customHeight="true" outlineLevel="0" collapsed="false">
      <c r="A9" s="3" t="s">
        <v>56</v>
      </c>
      <c r="B9" s="3"/>
      <c r="C9" s="3"/>
    </row>
    <row r="10" customFormat="false" ht="15" hidden="false" customHeight="true" outlineLevel="0" collapsed="false">
      <c r="A10" s="9" t="s">
        <v>57</v>
      </c>
      <c r="B10" s="29" t="n">
        <v>9167</v>
      </c>
      <c r="C10" s="28" t="s">
        <v>58</v>
      </c>
    </row>
    <row r="11" customFormat="false" ht="15" hidden="false" customHeight="true" outlineLevel="0" collapsed="false">
      <c r="A11" s="9" t="s">
        <v>59</v>
      </c>
      <c r="B11" s="29" t="n">
        <v>20000</v>
      </c>
      <c r="C11" s="28" t="s">
        <v>60</v>
      </c>
    </row>
    <row r="12" customFormat="false" ht="15" hidden="false" customHeight="true" outlineLevel="0" collapsed="false">
      <c r="A12" s="9" t="s">
        <v>61</v>
      </c>
      <c r="B12" s="30" t="n">
        <v>0.03</v>
      </c>
      <c r="C12" s="28" t="s">
        <v>62</v>
      </c>
    </row>
    <row r="14" customFormat="false" ht="15" hidden="false" customHeight="true" outlineLevel="0" collapsed="false">
      <c r="A14" s="3" t="s">
        <v>63</v>
      </c>
      <c r="B14" s="3"/>
      <c r="C14" s="3"/>
    </row>
    <row r="15" customFormat="false" ht="15" hidden="false" customHeight="true" outlineLevel="0" collapsed="false">
      <c r="A15" s="9" t="s">
        <v>64</v>
      </c>
      <c r="B15" s="29" t="n">
        <v>2880</v>
      </c>
      <c r="C15" s="28" t="s">
        <v>65</v>
      </c>
    </row>
    <row r="16" customFormat="false" ht="15" hidden="false" customHeight="true" outlineLevel="0" collapsed="false">
      <c r="A16" s="9" t="s">
        <v>66</v>
      </c>
      <c r="B16" s="31" t="n">
        <v>2100</v>
      </c>
      <c r="C16" s="28" t="s">
        <v>67</v>
      </c>
    </row>
    <row r="17" customFormat="false" ht="15" hidden="false" customHeight="true" outlineLevel="0" collapsed="false">
      <c r="A17" s="9" t="s">
        <v>68</v>
      </c>
      <c r="B17" s="30" t="n">
        <v>0.03</v>
      </c>
      <c r="C17" s="28" t="s">
        <v>69</v>
      </c>
    </row>
    <row r="18" customFormat="false" ht="15" hidden="false" customHeight="true" outlineLevel="0" collapsed="false">
      <c r="A18" s="9" t="s">
        <v>70</v>
      </c>
      <c r="B18" s="29" t="n">
        <v>800</v>
      </c>
      <c r="C18" s="28" t="s">
        <v>71</v>
      </c>
    </row>
    <row r="19" customFormat="false" ht="15" hidden="false" customHeight="true" outlineLevel="0" collapsed="false">
      <c r="A19" s="9" t="s">
        <v>72</v>
      </c>
      <c r="B19" s="31" t="n">
        <v>150</v>
      </c>
      <c r="C19" s="28" t="s">
        <v>73</v>
      </c>
    </row>
    <row r="20" customFormat="false" ht="15" hidden="false" customHeight="true" outlineLevel="0" collapsed="false">
      <c r="A20" s="9" t="s">
        <v>74</v>
      </c>
      <c r="B20" s="29" t="n">
        <v>625</v>
      </c>
      <c r="C20" s="28" t="s">
        <v>75</v>
      </c>
    </row>
    <row r="21" customFormat="false" ht="15" hidden="false" customHeight="true" outlineLevel="0" collapsed="false">
      <c r="A21" s="9" t="s">
        <v>76</v>
      </c>
      <c r="B21" s="30" t="n">
        <v>0.03</v>
      </c>
      <c r="C21" s="28" t="s">
        <v>77</v>
      </c>
    </row>
    <row r="22" customFormat="false" ht="15" hidden="false" customHeight="true" outlineLevel="0" collapsed="false">
      <c r="A22" s="9" t="s">
        <v>78</v>
      </c>
      <c r="B22" s="31" t="n">
        <v>750</v>
      </c>
      <c r="C22" s="28" t="s">
        <v>79</v>
      </c>
    </row>
    <row r="23" customFormat="false" ht="15" hidden="false" customHeight="true" outlineLevel="0" collapsed="false">
      <c r="A23" s="14" t="s">
        <v>80</v>
      </c>
      <c r="B23" s="31" t="n">
        <v>750</v>
      </c>
      <c r="C23" s="32" t="s">
        <v>81</v>
      </c>
    </row>
    <row r="24" customFormat="false" ht="15" hidden="false" customHeight="true" outlineLevel="0" collapsed="false">
      <c r="A24" s="3" t="s">
        <v>82</v>
      </c>
      <c r="B24" s="3"/>
      <c r="C24" s="3"/>
    </row>
    <row r="25" customFormat="false" ht="15" hidden="false" customHeight="true" outlineLevel="0" collapsed="false">
      <c r="A25" s="9" t="s">
        <v>83</v>
      </c>
      <c r="B25" s="31" t="n">
        <v>16533</v>
      </c>
      <c r="C25" s="32" t="s">
        <v>84</v>
      </c>
    </row>
    <row r="26" customFormat="false" ht="15" hidden="false" customHeight="true" outlineLevel="0" collapsed="false">
      <c r="A26" s="14" t="s">
        <v>85</v>
      </c>
      <c r="B26" s="31" t="n">
        <v>17222</v>
      </c>
      <c r="C26" s="32" t="s">
        <v>86</v>
      </c>
    </row>
    <row r="27" customFormat="false" ht="15" hidden="false" customHeight="true" outlineLevel="0" collapsed="false">
      <c r="A27" s="9" t="s">
        <v>87</v>
      </c>
      <c r="B27" s="30" t="n">
        <v>0.08</v>
      </c>
      <c r="C27" s="28" t="s">
        <v>88</v>
      </c>
    </row>
    <row r="28" customFormat="false" ht="15" hidden="false" customHeight="true" outlineLevel="0" collapsed="false">
      <c r="A28" s="14" t="s">
        <v>89</v>
      </c>
      <c r="B28" s="31" t="n">
        <v>10000</v>
      </c>
      <c r="C28" s="32" t="s">
        <v>90</v>
      </c>
    </row>
    <row r="29" customFormat="false" ht="15" hidden="false" customHeight="true" outlineLevel="0" collapsed="false">
      <c r="A29" s="3" t="s">
        <v>91</v>
      </c>
      <c r="B29" s="3"/>
      <c r="C29" s="3"/>
    </row>
    <row r="30" customFormat="false" ht="15" hidden="false" customHeight="true" outlineLevel="0" collapsed="false">
      <c r="A30" s="9" t="s">
        <v>92</v>
      </c>
      <c r="B30" s="33" t="n">
        <v>297000</v>
      </c>
      <c r="C30" s="28" t="s">
        <v>93</v>
      </c>
    </row>
    <row r="31" customFormat="false" ht="15" hidden="false" customHeight="true" outlineLevel="0" collapsed="false">
      <c r="A31" s="9" t="s">
        <v>94</v>
      </c>
      <c r="B31" s="33" t="n">
        <v>176000</v>
      </c>
      <c r="C31" s="28" t="s">
        <v>95</v>
      </c>
    </row>
    <row r="32" customFormat="false" ht="15" hidden="false" customHeight="true" outlineLevel="0" collapsed="false">
      <c r="A32" s="9" t="s">
        <v>96</v>
      </c>
      <c r="B32" s="30" t="n">
        <v>0.1</v>
      </c>
      <c r="C32" s="28" t="s">
        <v>97</v>
      </c>
    </row>
    <row r="34" customFormat="false" ht="15" hidden="false" customHeight="true" outlineLevel="0" collapsed="false">
      <c r="A34" s="3" t="s">
        <v>98</v>
      </c>
      <c r="B34" s="3"/>
      <c r="C34" s="3"/>
    </row>
    <row r="35" customFormat="false" ht="15" hidden="false" customHeight="true" outlineLevel="0" collapsed="false">
      <c r="A35" s="9" t="s">
        <v>99</v>
      </c>
      <c r="B35" s="29" t="n">
        <v>10000</v>
      </c>
      <c r="C35" s="28" t="s">
        <v>100</v>
      </c>
    </row>
    <row r="36" customFormat="false" ht="15" hidden="false" customHeight="true" outlineLevel="0" collapsed="false">
      <c r="A36" s="9" t="s">
        <v>101</v>
      </c>
      <c r="B36" s="29" t="n">
        <v>7500</v>
      </c>
      <c r="C36" s="28" t="s">
        <v>102</v>
      </c>
    </row>
    <row r="37" customFormat="false" ht="15" hidden="false" customHeight="true" outlineLevel="0" collapsed="false">
      <c r="A37" s="9" t="s">
        <v>103</v>
      </c>
      <c r="B37" s="29" t="n">
        <v>7500</v>
      </c>
      <c r="C37" s="28" t="s">
        <v>104</v>
      </c>
    </row>
    <row r="39" customFormat="false" ht="15" hidden="false" customHeight="true" outlineLevel="0" collapsed="false">
      <c r="A39" s="3" t="s">
        <v>105</v>
      </c>
      <c r="B39" s="3"/>
      <c r="C39" s="3"/>
    </row>
    <row r="40" customFormat="false" ht="15" hidden="false" customHeight="true" outlineLevel="0" collapsed="false">
      <c r="A40" s="9" t="s">
        <v>106</v>
      </c>
      <c r="B40" s="29" t="n">
        <v>80000</v>
      </c>
      <c r="C40" s="28" t="s">
        <v>107</v>
      </c>
    </row>
    <row r="41" customFormat="false" ht="15" hidden="false" customHeight="true" outlineLevel="0" collapsed="false">
      <c r="A41" s="9" t="s">
        <v>108</v>
      </c>
      <c r="B41" s="29" t="n">
        <v>60000</v>
      </c>
      <c r="C41" s="32" t="s">
        <v>109</v>
      </c>
    </row>
    <row r="42" customFormat="false" ht="15" hidden="false" customHeight="true" outlineLevel="0" collapsed="false">
      <c r="A42" s="9" t="s">
        <v>110</v>
      </c>
      <c r="B42" s="29" t="n">
        <v>45000</v>
      </c>
      <c r="C42" s="28" t="s">
        <v>111</v>
      </c>
    </row>
    <row r="44" customFormat="false" ht="15" hidden="false" customHeight="true" outlineLevel="0" collapsed="false">
      <c r="A44" s="3" t="s">
        <v>112</v>
      </c>
      <c r="B44" s="3"/>
      <c r="C44" s="3"/>
    </row>
    <row r="45" customFormat="false" ht="15" hidden="false" customHeight="true" outlineLevel="0" collapsed="false">
      <c r="A45" s="9" t="s">
        <v>113</v>
      </c>
      <c r="B45" s="29" t="n">
        <v>5760</v>
      </c>
      <c r="C45" s="28" t="s">
        <v>114</v>
      </c>
    </row>
    <row r="46" customFormat="false" ht="15" hidden="false" customHeight="true" outlineLevel="0" collapsed="false">
      <c r="A46" s="9" t="s">
        <v>115</v>
      </c>
      <c r="B46" s="34" t="n">
        <v>0.0569</v>
      </c>
      <c r="C46" s="28" t="s">
        <v>116</v>
      </c>
    </row>
    <row r="47" customFormat="false" ht="15" hidden="false" customHeight="true" outlineLevel="0" collapsed="false">
      <c r="A47" s="14" t="s">
        <v>117</v>
      </c>
      <c r="B47" s="31" t="n">
        <v>802678</v>
      </c>
      <c r="C47" s="32" t="s">
        <v>118</v>
      </c>
    </row>
    <row r="49" customFormat="false" ht="15" hidden="false" customHeight="true" outlineLevel="0" collapsed="false">
      <c r="A49" s="3" t="s">
        <v>119</v>
      </c>
      <c r="B49" s="3"/>
      <c r="C49" s="3"/>
    </row>
    <row r="50" customFormat="false" ht="15" hidden="false" customHeight="true" outlineLevel="0" collapsed="false">
      <c r="A50" s="9" t="s">
        <v>120</v>
      </c>
      <c r="B50" s="35" t="n">
        <f aca="false">B45*(1-(1+B46/12)^(-28*12))/(B46/12)</f>
        <v>966901.426629366</v>
      </c>
      <c r="C50" s="9" t="s">
        <v>121</v>
      </c>
    </row>
    <row r="51" customFormat="false" ht="15" hidden="false" customHeight="true" outlineLevel="0" collapsed="false">
      <c r="A51" s="9" t="s">
        <v>34</v>
      </c>
      <c r="B51" s="35" t="n">
        <f aca="false">B40+B41+B42</f>
        <v>185000</v>
      </c>
    </row>
    <row r="52" customFormat="false" ht="15" hidden="false" customHeight="true" outlineLevel="0" collapsed="false">
      <c r="A52" s="9" t="s">
        <v>122</v>
      </c>
      <c r="B52" s="36" t="n">
        <f aca="false">Mortgage!$F$3</f>
        <v>814221</v>
      </c>
      <c r="C52" s="6" t="s">
        <v>123</v>
      </c>
    </row>
  </sheetData>
  <mergeCells count="10">
    <mergeCell ref="A1:C1"/>
    <mergeCell ref="A3:C3"/>
    <mergeCell ref="A9:C9"/>
    <mergeCell ref="A14:C14"/>
    <mergeCell ref="A24:C24"/>
    <mergeCell ref="A29:C29"/>
    <mergeCell ref="A34:C34"/>
    <mergeCell ref="A39:C39"/>
    <mergeCell ref="A44:C44"/>
    <mergeCell ref="A49:C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"/>
    <col collapsed="false" customWidth="true" hidden="false" outlineLevel="0" max="3" min="3" style="1" width="13"/>
    <col collapsed="false" customWidth="true" hidden="false" outlineLevel="0" max="4" min="4" style="1" width="15"/>
    <col collapsed="false" customWidth="true" hidden="false" outlineLevel="0" max="8" min="5" style="1" width="13"/>
    <col collapsed="false" customWidth="true" hidden="false" outlineLevel="0" max="9" min="9" style="1" width="15"/>
    <col collapsed="false" customWidth="true" hidden="false" outlineLevel="0" max="10" min="10" style="1" width="14"/>
    <col collapsed="false" customWidth="true" hidden="false" outlineLevel="0" max="11" min="11" style="1" width="24"/>
  </cols>
  <sheetData>
    <row r="1" customFormat="false" ht="19.5" hidden="false" customHeight="true" outlineLevel="0" collapsed="false">
      <c r="A1" s="26" t="s">
        <v>124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customFormat="false" ht="15" hidden="false" customHeight="true" outlineLevel="0" collapsed="false">
      <c r="A2" s="37" t="s">
        <v>125</v>
      </c>
      <c r="B2" s="37" t="s">
        <v>23</v>
      </c>
      <c r="C2" s="37" t="s">
        <v>126</v>
      </c>
      <c r="D2" s="37" t="s">
        <v>127</v>
      </c>
      <c r="E2" s="37" t="s">
        <v>128</v>
      </c>
      <c r="F2" s="37" t="s">
        <v>129</v>
      </c>
      <c r="G2" s="37" t="s">
        <v>130</v>
      </c>
      <c r="H2" s="37" t="s">
        <v>131</v>
      </c>
      <c r="I2" s="37" t="s">
        <v>132</v>
      </c>
      <c r="J2" s="37" t="s">
        <v>133</v>
      </c>
      <c r="K2" s="37" t="s">
        <v>6</v>
      </c>
    </row>
    <row r="3" customFormat="false" ht="15" hidden="false" customHeight="true" outlineLevel="0" collapsed="false">
      <c r="A3" s="38" t="n">
        <v>1</v>
      </c>
      <c r="B3" s="38" t="n">
        <v>36</v>
      </c>
      <c r="C3" s="13" t="s">
        <v>134</v>
      </c>
      <c r="D3" s="39" t="n">
        <f aca="false">Assumptions!B30</f>
        <v>297000</v>
      </c>
      <c r="E3" s="40" t="n">
        <f aca="false">D3*Assumptions!B32</f>
        <v>29700</v>
      </c>
      <c r="F3" s="40" t="n">
        <f aca="false">MAX(0,Assumptions!B10*12*(1+Assumptions!B12)^(1-1)+Assumptions!B11*(1+Assumptions!B12)^(1-1)-(Assumptions!B15+Assumptions!B16*(1+Assumptions!B17)^(1-1)+Assumptions!B18*(1+Assumptions!B21)^(1-1)+Assumptions!B19*(1+Assumptions!B21)^(1-1)+Assumptions!B20*(1+Assumptions!B21)^(1-1)+Assumptions!B22+Assumptions!B23)*12-(0+0+0))</f>
        <v>33344</v>
      </c>
      <c r="G3" s="40" t="s">
        <v>135</v>
      </c>
      <c r="H3" s="41" t="n">
        <f aca="false">D3+E3+F3-G3</f>
        <v>360044</v>
      </c>
      <c r="I3" s="40" t="n">
        <f aca="false">H3*0.04</f>
        <v>14401.76</v>
      </c>
      <c r="J3" s="20"/>
      <c r="K3" s="13"/>
    </row>
    <row r="4" customFormat="false" ht="15" hidden="false" customHeight="true" outlineLevel="0" collapsed="false">
      <c r="A4" s="38" t="n">
        <v>2</v>
      </c>
      <c r="B4" s="38" t="n">
        <v>37</v>
      </c>
      <c r="C4" s="13" t="s">
        <v>134</v>
      </c>
      <c r="D4" s="39" t="n">
        <f aca="false">H3</f>
        <v>360044</v>
      </c>
      <c r="E4" s="40" t="n">
        <f aca="false">D4*Assumptions!B32</f>
        <v>36004.4</v>
      </c>
      <c r="F4" s="40" t="n">
        <f aca="false">MAX(0,Assumptions!B10*12*(1+Assumptions!B12)^(2-1)+Assumptions!B11*(1+Assumptions!B12)^(2-1)-(Assumptions!B15+Assumptions!B16*(1+Assumptions!B17)^(2-1)+Assumptions!B18*(1+Assumptions!B21)^(2-1)+Assumptions!B19*(1+Assumptions!B21)^(2-1)+Assumptions!B20*(1+Assumptions!B21)^(2-1)+Assumptions!B22+Assumptions!B23)*12-(Assumptions!B35+0+0))</f>
        <v>25921.12</v>
      </c>
      <c r="G4" s="40" t="s">
        <v>135</v>
      </c>
      <c r="H4" s="41" t="n">
        <f aca="false">D4+E4+F4-G4</f>
        <v>421969.52</v>
      </c>
      <c r="I4" s="40" t="n">
        <f aca="false">H4*0.04</f>
        <v>16878.7808</v>
      </c>
      <c r="J4" s="42"/>
      <c r="K4" s="13"/>
    </row>
    <row r="5" customFormat="false" ht="15" hidden="false" customHeight="true" outlineLevel="0" collapsed="false">
      <c r="A5" s="38" t="n">
        <v>3</v>
      </c>
      <c r="B5" s="38" t="n">
        <v>38</v>
      </c>
      <c r="C5" s="13" t="s">
        <v>134</v>
      </c>
      <c r="D5" s="39" t="n">
        <f aca="false">H4</f>
        <v>421969.52</v>
      </c>
      <c r="E5" s="40" t="n">
        <f aca="false">D5*Assumptions!B32</f>
        <v>42196.952</v>
      </c>
      <c r="F5" s="40" t="n">
        <f aca="false">MAX(0,Assumptions!B10*12*(1+Assumptions!B12)^(3-1)+Assumptions!B11*(1+Assumptions!B12)^(3-1)-(Assumptions!B15+Assumptions!B16*(1+Assumptions!B17)^(3-1)+Assumptions!B18*(1+Assumptions!B21)^(3-1)+Assumptions!B19*(1+Assumptions!B21)^(3-1)+Assumptions!B20*(1+Assumptions!B21)^(3-1)+Assumptions!B22+Assumptions!B23)*12-(0+Assumptions!B36+0))</f>
        <v>31075.5536</v>
      </c>
      <c r="G5" s="40" t="s">
        <v>135</v>
      </c>
      <c r="H5" s="41" t="n">
        <f aca="false">D5+E5+F5-G5</f>
        <v>495242.0256</v>
      </c>
      <c r="I5" s="40" t="n">
        <f aca="false">H5*0.04</f>
        <v>19809.681024</v>
      </c>
      <c r="J5" s="42"/>
      <c r="K5" s="13"/>
    </row>
    <row r="6" customFormat="false" ht="15" hidden="false" customHeight="true" outlineLevel="0" collapsed="false">
      <c r="A6" s="38" t="n">
        <v>4</v>
      </c>
      <c r="B6" s="38" t="n">
        <v>39</v>
      </c>
      <c r="C6" s="13" t="s">
        <v>134</v>
      </c>
      <c r="D6" s="39" t="n">
        <f aca="false">H5</f>
        <v>495242.0256</v>
      </c>
      <c r="E6" s="40" t="n">
        <f aca="false">D6*Assumptions!B32</f>
        <v>49524.20256</v>
      </c>
      <c r="F6" s="40" t="n">
        <f aca="false">MAX(0,Assumptions!B10*12*(1+Assumptions!B12)^(4-1)+Assumptions!B11*(1+Assumptions!B12)^(4-1)-(Assumptions!B15+Assumptions!B16*(1+Assumptions!B17)^(4-1)+Assumptions!B18*(1+Assumptions!B21)^(4-1)+Assumptions!B19*(1+Assumptions!B21)^(4-1)+Assumptions!B20*(1+Assumptions!B21)^(4-1)+Assumptions!B22+Assumptions!B23)*12-(0+0+Assumptions!B37))</f>
        <v>33809.620208</v>
      </c>
      <c r="G6" s="40" t="s">
        <v>135</v>
      </c>
      <c r="H6" s="41" t="n">
        <f aca="false">D6+E6+F6-G6</f>
        <v>578575.848368</v>
      </c>
      <c r="I6" s="40" t="n">
        <f aca="false">H6*0.04</f>
        <v>23143.03393472</v>
      </c>
      <c r="J6" s="42"/>
      <c r="K6" s="13"/>
    </row>
    <row r="7" customFormat="false" ht="15" hidden="false" customHeight="true" outlineLevel="0" collapsed="false">
      <c r="A7" s="38" t="n">
        <v>5</v>
      </c>
      <c r="B7" s="38" t="n">
        <v>40</v>
      </c>
      <c r="C7" s="13" t="s">
        <v>134</v>
      </c>
      <c r="D7" s="39" t="n">
        <f aca="false">H6</f>
        <v>578575.848368</v>
      </c>
      <c r="E7" s="40" t="n">
        <f aca="false">D7*Assumptions!B32</f>
        <v>57857.5848368</v>
      </c>
      <c r="F7" s="40" t="n">
        <f aca="false">MAX(0,Assumptions!B10*12*(1+Assumptions!B12)^(5-1)+Assumptions!B11*(1+Assumptions!B12)^(5-1)-(Assumptions!B15+Assumptions!B16*(1+Assumptions!B17)^(5-1)+Assumptions!B18*(1+Assumptions!B21)^(5-1)+Assumptions!B19*(1+Assumptions!B21)^(5-1)+Assumptions!B20*(1+Assumptions!B21)^(5-1)+Assumptions!B22+Assumptions!B23)*12-(0+0+0))</f>
        <v>44125.70881424</v>
      </c>
      <c r="G7" s="40" t="s">
        <v>135</v>
      </c>
      <c r="H7" s="41" t="n">
        <f aca="false">D7+E7+F7-G7</f>
        <v>680559.14201904</v>
      </c>
      <c r="I7" s="40" t="n">
        <f aca="false">H7*0.04</f>
        <v>27222.3656807616</v>
      </c>
      <c r="J7" s="42"/>
      <c r="K7" s="13"/>
    </row>
    <row r="8" customFormat="false" ht="15" hidden="false" customHeight="true" outlineLevel="0" collapsed="false">
      <c r="A8" s="38" t="n">
        <v>6</v>
      </c>
      <c r="B8" s="38" t="n">
        <v>41</v>
      </c>
      <c r="C8" s="13" t="s">
        <v>134</v>
      </c>
      <c r="D8" s="39" t="n">
        <f aca="false">H7</f>
        <v>680559.14201904</v>
      </c>
      <c r="E8" s="40" t="n">
        <f aca="false">D8*Assumptions!B32</f>
        <v>68055.914201904</v>
      </c>
      <c r="F8" s="40" t="n">
        <f aca="false">MAX(0,Assumptions!B10*12*(1+Assumptions!B12)^(6-1)+Assumptions!B11*(1+Assumptions!B12)^(6-1)-(Assumptions!B15+Assumptions!B16*(1+Assumptions!B17)^(6-1)+Assumptions!B18*(1+Assumptions!B21)^(6-1)+Assumptions!B19*(1+Assumptions!B21)^(6-1)+Assumptions!B20*(1+Assumptions!B21)^(6-1)+Assumptions!B22+Assumptions!B23)*12-(0+0+0))</f>
        <v>47026.2800786672</v>
      </c>
      <c r="G8" s="40" t="s">
        <v>135</v>
      </c>
      <c r="H8" s="41" t="n">
        <f aca="false">D8+E8+F8-G8</f>
        <v>795641.336299611</v>
      </c>
      <c r="I8" s="40" t="n">
        <f aca="false">H8*0.04</f>
        <v>31825.6534519844</v>
      </c>
      <c r="J8" s="42"/>
      <c r="K8" s="13"/>
    </row>
    <row r="9" customFormat="false" ht="15" hidden="false" customHeight="true" outlineLevel="0" collapsed="false">
      <c r="A9" s="38" t="n">
        <v>7</v>
      </c>
      <c r="B9" s="38" t="n">
        <v>42</v>
      </c>
      <c r="C9" s="13" t="s">
        <v>134</v>
      </c>
      <c r="D9" s="39" t="n">
        <f aca="false">H8</f>
        <v>795641.336299611</v>
      </c>
      <c r="E9" s="40" t="n">
        <f aca="false">D9*Assumptions!B32</f>
        <v>79564.1336299611</v>
      </c>
      <c r="F9" s="40" t="n">
        <f aca="false">MAX(0,Assumptions!B10*12*(1+Assumptions!B12)^(7-1)+Assumptions!B11*(1+Assumptions!B12)^(7-1)-(Assumptions!B15+Assumptions!B16*(1+Assumptions!B17)^(7-1)+Assumptions!B18*(1+Assumptions!B21)^(7-1)+Assumptions!B19*(1+Assumptions!B21)^(7-1)+Assumptions!B20*(1+Assumptions!B21)^(7-1)+Assumptions!B22+Assumptions!B23)*12-(0+0+0))</f>
        <v>50013.8684810272</v>
      </c>
      <c r="G9" s="40" t="s">
        <v>135</v>
      </c>
      <c r="H9" s="41" t="n">
        <f aca="false">D9+E9+F9-G9</f>
        <v>925219.338410599</v>
      </c>
      <c r="I9" s="40" t="n">
        <f aca="false">H9*0.04</f>
        <v>37008.773536424</v>
      </c>
      <c r="J9" s="42"/>
      <c r="K9" s="13"/>
    </row>
    <row r="10" customFormat="false" ht="15" hidden="false" customHeight="true" outlineLevel="0" collapsed="false">
      <c r="A10" s="38" t="n">
        <v>8</v>
      </c>
      <c r="B10" s="38" t="n">
        <v>43</v>
      </c>
      <c r="C10" s="13" t="s">
        <v>134</v>
      </c>
      <c r="D10" s="39" t="n">
        <f aca="false">H9</f>
        <v>925219.338410599</v>
      </c>
      <c r="E10" s="40" t="n">
        <f aca="false">D10*Assumptions!B32</f>
        <v>92521.9338410599</v>
      </c>
      <c r="F10" s="40" t="n">
        <f aca="false">MAX(0,Assumptions!B10*12*(1+Assumptions!B12)^(8-1)+Assumptions!B11*(1+Assumptions!B12)^(8-1)-(Assumptions!B15+Assumptions!B16*(1+Assumptions!B17)^(8-1)+Assumptions!B18*(1+Assumptions!B21)^(8-1)+Assumptions!B19*(1+Assumptions!B21)^(8-1)+Assumptions!B20*(1+Assumptions!B21)^(8-1)+Assumptions!B22+Assumptions!B23)*12-(0+0+0))</f>
        <v>53091.0845354581</v>
      </c>
      <c r="G10" s="40" t="s">
        <v>135</v>
      </c>
      <c r="H10" s="41" t="n">
        <f aca="false">D10+E10+F10-G10</f>
        <v>1070832.35678712</v>
      </c>
      <c r="I10" s="40" t="n">
        <f aca="false">H10*0.04</f>
        <v>42833.2942714847</v>
      </c>
      <c r="J10" s="42"/>
      <c r="K10" s="13"/>
    </row>
    <row r="11" customFormat="false" ht="15" hidden="false" customHeight="true" outlineLevel="0" collapsed="false">
      <c r="A11" s="38" t="n">
        <v>9</v>
      </c>
      <c r="B11" s="38" t="n">
        <v>44</v>
      </c>
      <c r="C11" s="13" t="s">
        <v>134</v>
      </c>
      <c r="D11" s="39" t="n">
        <f aca="false">H10</f>
        <v>1070832.35678712</v>
      </c>
      <c r="E11" s="40" t="n">
        <f aca="false">D11*Assumptions!B32</f>
        <v>107083.235678712</v>
      </c>
      <c r="F11" s="40" t="n">
        <f aca="false">MAX(0,Assumptions!B10*12*(1+Assumptions!B12)^(9-1)+Assumptions!B11*(1+Assumptions!B12)^(9-1)-(Assumptions!B15+Assumptions!B16*(1+Assumptions!B17)^(9-1)+Assumptions!B18*(1+Assumptions!B21)^(9-1)+Assumptions!B19*(1+Assumptions!B21)^(9-1)+Assumptions!B20*(1+Assumptions!B21)^(9-1)+Assumptions!B22+Assumptions!B23)*12-(0+0+0))</f>
        <v>56260.6170715218</v>
      </c>
      <c r="G11" s="40" t="s">
        <v>135</v>
      </c>
      <c r="H11" s="41" t="n">
        <f aca="false">D11+E11+F11-G11</f>
        <v>1234176.20953735</v>
      </c>
      <c r="I11" s="40" t="n">
        <f aca="false">H11*0.04</f>
        <v>49367.048381494</v>
      </c>
      <c r="J11" s="42"/>
      <c r="K11" s="13"/>
    </row>
    <row r="12" customFormat="false" ht="15" hidden="false" customHeight="true" outlineLevel="0" collapsed="false">
      <c r="A12" s="43" t="n">
        <v>10</v>
      </c>
      <c r="B12" s="43" t="n">
        <v>45</v>
      </c>
      <c r="C12" s="6" t="s">
        <v>136</v>
      </c>
      <c r="D12" s="44" t="n">
        <f aca="false">H11</f>
        <v>1234176.20953735</v>
      </c>
      <c r="E12" s="45" t="n">
        <f aca="false">D12*Assumptions!B32</f>
        <v>123417.620953735</v>
      </c>
      <c r="F12" s="45" t="s">
        <v>135</v>
      </c>
      <c r="G12" s="45" t="n">
        <f aca="false">MAX(0,(Assumptions!B15+Assumptions!B16*(1+Assumptions!B17)^(10-1)+Assumptions!B18*(1+Assumptions!B21)^(10-1)+Assumptions!B19*(1+Assumptions!B21)^(10-1)+Assumptions!B20*(1+Assumptions!B21)^(10-1))*12-Assumptions!B10*(1+Assumptions!B12)^(10-1)*0.5*12-Assumptions!B11*(1+Assumptions!B12)^(10-1)*0.5)</f>
        <v>7287.63091160112</v>
      </c>
      <c r="H12" s="46" t="n">
        <f aca="false">D12+E12+F12-G12</f>
        <v>1350306.19957949</v>
      </c>
      <c r="I12" s="45" t="n">
        <f aca="false">H12*0.04</f>
        <v>54012.2479831794</v>
      </c>
      <c r="J12" s="24"/>
      <c r="K12" s="6"/>
    </row>
    <row r="13" customFormat="false" ht="15" hidden="false" customHeight="true" outlineLevel="0" collapsed="false">
      <c r="A13" s="43" t="n">
        <v>11</v>
      </c>
      <c r="B13" s="43" t="n">
        <v>46</v>
      </c>
      <c r="C13" s="6" t="s">
        <v>136</v>
      </c>
      <c r="D13" s="44" t="n">
        <f aca="false">H12</f>
        <v>1350306.19957949</v>
      </c>
      <c r="E13" s="45" t="n">
        <f aca="false">D13*Assumptions!B32</f>
        <v>135030.619957949</v>
      </c>
      <c r="F13" s="45" t="s">
        <v>135</v>
      </c>
      <c r="G13" s="45" t="n">
        <f aca="false">MAX(0,(Assumptions!B15+Assumptions!B16*(1+Assumptions!B17)^(11-1)+Assumptions!B18*(1+Assumptions!B21)^(11-1)+Assumptions!B19*(1+Assumptions!B21)^(11-1)+Assumptions!B20*(1+Assumptions!B21)^(11-1))*12-Assumptions!B10*(1+Assumptions!B12)^(11-1)*0.5*12-Assumptions!B11*(1+Assumptions!B12)^(11-1)*0.5)</f>
        <v>6469.45983894915</v>
      </c>
      <c r="H13" s="46" t="n">
        <f aca="false">D13+E13+F13-G13</f>
        <v>1478867.35969848</v>
      </c>
      <c r="I13" s="45" t="n">
        <f aca="false">H13*0.04</f>
        <v>59154.6943879394</v>
      </c>
      <c r="J13" s="24"/>
      <c r="K13" s="6"/>
    </row>
    <row r="14" customFormat="false" ht="15" hidden="false" customHeight="true" outlineLevel="0" collapsed="false">
      <c r="A14" s="43" t="n">
        <v>12</v>
      </c>
      <c r="B14" s="43" t="n">
        <v>47</v>
      </c>
      <c r="C14" s="6" t="s">
        <v>136</v>
      </c>
      <c r="D14" s="44" t="n">
        <f aca="false">H13</f>
        <v>1478867.35969848</v>
      </c>
      <c r="E14" s="45" t="n">
        <f aca="false">D14*Assumptions!B32</f>
        <v>147886.735969848</v>
      </c>
      <c r="F14" s="45" t="s">
        <v>135</v>
      </c>
      <c r="G14" s="45" t="n">
        <f aca="false">MAX(0,(Assumptions!B15+Assumptions!B16*(1+Assumptions!B17)^(12-1)+Assumptions!B18*(1+Assumptions!B21)^(12-1)+Assumptions!B19*(1+Assumptions!B21)^(12-1)+Assumptions!B20*(1+Assumptions!B21)^(12-1))*12-Assumptions!B10*(1+Assumptions!B12)^(12-1)*0.5*12-Assumptions!B11*(1+Assumptions!B12)^(12-1)*0.5)</f>
        <v>5626.74363411762</v>
      </c>
      <c r="H14" s="46" t="n">
        <f aca="false">D14+E14+F14-G14</f>
        <v>1621127.35203422</v>
      </c>
      <c r="I14" s="45" t="n">
        <f aca="false">H14*0.04</f>
        <v>64845.0940813686</v>
      </c>
      <c r="J14" s="24"/>
      <c r="K14" s="6"/>
    </row>
    <row r="15" customFormat="false" ht="15" hidden="false" customHeight="true" outlineLevel="0" collapsed="false">
      <c r="A15" s="43" t="n">
        <v>13</v>
      </c>
      <c r="B15" s="43" t="n">
        <v>48</v>
      </c>
      <c r="C15" s="6" t="s">
        <v>136</v>
      </c>
      <c r="D15" s="44" t="n">
        <f aca="false">H14</f>
        <v>1621127.35203422</v>
      </c>
      <c r="E15" s="45" t="n">
        <f aca="false">D15*Assumptions!B32</f>
        <v>162112.735203422</v>
      </c>
      <c r="F15" s="45" t="s">
        <v>135</v>
      </c>
      <c r="G15" s="45" t="n">
        <f aca="false">MAX(0,(Assumptions!B15+Assumptions!B16*(1+Assumptions!B17)^(13-1)+Assumptions!B18*(1+Assumptions!B21)^(13-1)+Assumptions!B19*(1+Assumptions!B21)^(13-1)+Assumptions!B20*(1+Assumptions!B21)^(13-1))*12-Assumptions!B10*(1+Assumptions!B12)^(13-1)*0.5*12-Assumptions!B11*(1+Assumptions!B12)^(13-1)*0.5)</f>
        <v>4758.74594314118</v>
      </c>
      <c r="H15" s="46" t="n">
        <f aca="false">D15+E15+F15-G15</f>
        <v>1778481.3412945</v>
      </c>
      <c r="I15" s="45" t="n">
        <f aca="false">H15*0.04</f>
        <v>71139.2536517798</v>
      </c>
      <c r="J15" s="24"/>
      <c r="K15" s="6"/>
    </row>
    <row r="16" customFormat="false" ht="15" hidden="false" customHeight="true" outlineLevel="0" collapsed="false">
      <c r="A16" s="43" t="n">
        <v>14</v>
      </c>
      <c r="B16" s="43" t="n">
        <v>49</v>
      </c>
      <c r="C16" s="6" t="s">
        <v>136</v>
      </c>
      <c r="D16" s="44" t="n">
        <f aca="false">H15</f>
        <v>1778481.3412945</v>
      </c>
      <c r="E16" s="45" t="n">
        <f aca="false">D16*Assumptions!B32</f>
        <v>177848.13412945</v>
      </c>
      <c r="F16" s="45" t="s">
        <v>135</v>
      </c>
      <c r="G16" s="45" t="n">
        <f aca="false">MAX(0,(Assumptions!B15+Assumptions!B16*(1+Assumptions!B17)^(14-1)+Assumptions!B18*(1+Assumptions!B21)^(14-1)+Assumptions!B19*(1+Assumptions!B21)^(14-1)+Assumptions!B20*(1+Assumptions!B21)^(14-1))*12-Assumptions!B10*(1+Assumptions!B12)^(14-1)*0.5*12-Assumptions!B11*(1+Assumptions!B12)^(14-1)*0.5)</f>
        <v>3864.70832143538</v>
      </c>
      <c r="H16" s="46" t="n">
        <f aca="false">D16+E16+F16-G16</f>
        <v>1952464.76710251</v>
      </c>
      <c r="I16" s="45" t="n">
        <f aca="false">H16*0.04</f>
        <v>78098.5906841004</v>
      </c>
      <c r="J16" s="24"/>
      <c r="K16" s="6"/>
    </row>
    <row r="17" customFormat="false" ht="15" hidden="false" customHeight="true" outlineLevel="0" collapsed="false">
      <c r="A17" s="47" t="n">
        <v>15</v>
      </c>
      <c r="B17" s="47" t="n">
        <v>50</v>
      </c>
      <c r="C17" s="48" t="s">
        <v>137</v>
      </c>
      <c r="D17" s="49" t="n">
        <f aca="false">H16</f>
        <v>1952464.76710251</v>
      </c>
      <c r="E17" s="50" t="n">
        <f aca="false">D17*Assumptions!B32</f>
        <v>195246.476710251</v>
      </c>
      <c r="F17" s="50" t="s">
        <v>135</v>
      </c>
      <c r="G17" s="50" t="n">
        <f aca="false">MAX(0,(IF(15&gt;=26,0,Assumptions!B15)+Assumptions!B16*(1+Assumptions!B17)^(15-1)+Assumptions!B18*(1+Assumptions!B21)^(15-1)+Assumptions!B19*(1+Assumptions!B21)^(15-1)+Assumptions!B20*(1+Assumptions!B21)^(15-1))*12)+Assumptions!B42+0</f>
        <v>146265.20686611</v>
      </c>
      <c r="H17" s="51" t="n">
        <f aca="false">D17+E17+F17-G17</f>
        <v>2001446.03694665</v>
      </c>
      <c r="I17" s="50" t="n">
        <f aca="false">H17*0.04</f>
        <v>80057.841477866</v>
      </c>
      <c r="J17" s="52"/>
      <c r="K17" s="48"/>
    </row>
    <row r="18" customFormat="false" ht="15" hidden="false" customHeight="true" outlineLevel="0" collapsed="false">
      <c r="A18" s="47" t="n">
        <v>16</v>
      </c>
      <c r="B18" s="47" t="n">
        <v>51</v>
      </c>
      <c r="C18" s="48" t="s">
        <v>137</v>
      </c>
      <c r="D18" s="49" t="n">
        <f aca="false">H17</f>
        <v>2001446.03694665</v>
      </c>
      <c r="E18" s="50" t="n">
        <f aca="false">D18*Assumptions!B32</f>
        <v>200144.603694665</v>
      </c>
      <c r="F18" s="50" t="s">
        <v>135</v>
      </c>
      <c r="G18" s="50" t="n">
        <f aca="false">MAX(0,(IF(16&gt;=26,0,Assumptions!B15)+Assumptions!B16*(1+Assumptions!B17)^(16-1)+Assumptions!B18*(1+Assumptions!B21)^(16-1)+Assumptions!B19*(1+Assumptions!B21)^(16-1)+Assumptions!B20*(1+Assumptions!B21)^(16-1))*12)+0+0</f>
        <v>103266.363072094</v>
      </c>
      <c r="H18" s="51" t="n">
        <f aca="false">D18+E18+F18-G18</f>
        <v>2098324.27756922</v>
      </c>
      <c r="I18" s="50" t="n">
        <f aca="false">H18*0.04</f>
        <v>83932.9711027689</v>
      </c>
      <c r="J18" s="52"/>
      <c r="K18" s="48"/>
    </row>
    <row r="19" customFormat="false" ht="15" hidden="false" customHeight="true" outlineLevel="0" collapsed="false">
      <c r="A19" s="47" t="n">
        <v>17</v>
      </c>
      <c r="B19" s="47" t="n">
        <v>52</v>
      </c>
      <c r="C19" s="48" t="s">
        <v>137</v>
      </c>
      <c r="D19" s="49" t="n">
        <f aca="false">H18</f>
        <v>2098324.27756922</v>
      </c>
      <c r="E19" s="50" t="n">
        <f aca="false">D19*Assumptions!B32</f>
        <v>209832.427756922</v>
      </c>
      <c r="F19" s="50" t="s">
        <v>135</v>
      </c>
      <c r="G19" s="50" t="n">
        <f aca="false">MAX(0,(IF(17&gt;=26,0,Assumptions!B15)+Assumptions!B16*(1+Assumptions!B17)^(17-1)+Assumptions!B18*(1+Assumptions!B21)^(17-1)+Assumptions!B19*(1+Assumptions!B21)^(17-1)+Assumptions!B20*(1+Assumptions!B21)^(17-1))*12)+0+0</f>
        <v>105327.553964257</v>
      </c>
      <c r="H19" s="51" t="n">
        <f aca="false">D19+E19+F19-G19</f>
        <v>2202829.15136189</v>
      </c>
      <c r="I19" s="50" t="n">
        <f aca="false">H19*0.04</f>
        <v>88113.1660544755</v>
      </c>
      <c r="J19" s="52"/>
      <c r="K19" s="48"/>
    </row>
    <row r="20" customFormat="false" ht="15" hidden="false" customHeight="true" outlineLevel="0" collapsed="false">
      <c r="A20" s="47" t="n">
        <v>18</v>
      </c>
      <c r="B20" s="47" t="n">
        <v>53</v>
      </c>
      <c r="C20" s="48" t="s">
        <v>137</v>
      </c>
      <c r="D20" s="49" t="n">
        <f aca="false">H19</f>
        <v>2202829.15136189</v>
      </c>
      <c r="E20" s="50" t="n">
        <f aca="false">D20*Assumptions!B32</f>
        <v>220282.915136189</v>
      </c>
      <c r="F20" s="50" t="s">
        <v>135</v>
      </c>
      <c r="G20" s="50" t="n">
        <f aca="false">MAX(0,(IF(18&gt;=26,0,Assumptions!B15)+Assumptions!B16*(1+Assumptions!B17)^(18-1)+Assumptions!B18*(1+Assumptions!B21)^(18-1)+Assumptions!B19*(1+Assumptions!B21)^(18-1)+Assumptions!B20*(1+Assumptions!B21)^(18-1))*12)+0+0</f>
        <v>107450.580583184</v>
      </c>
      <c r="H20" s="51" t="n">
        <f aca="false">D20+E20+F20-G20</f>
        <v>2315661.48591489</v>
      </c>
      <c r="I20" s="50" t="n">
        <f aca="false">H20*0.04</f>
        <v>92626.4594365957</v>
      </c>
      <c r="J20" s="52"/>
      <c r="K20" s="48"/>
    </row>
    <row r="21" customFormat="false" ht="15" hidden="false" customHeight="true" outlineLevel="0" collapsed="false">
      <c r="A21" s="47" t="n">
        <v>19</v>
      </c>
      <c r="B21" s="47" t="n">
        <v>54</v>
      </c>
      <c r="C21" s="48" t="s">
        <v>137</v>
      </c>
      <c r="D21" s="49" t="n">
        <f aca="false">H20</f>
        <v>2315661.48591489</v>
      </c>
      <c r="E21" s="50" t="n">
        <f aca="false">D21*Assumptions!B32</f>
        <v>231566.148591489</v>
      </c>
      <c r="F21" s="50" t="s">
        <v>135</v>
      </c>
      <c r="G21" s="50" t="n">
        <f aca="false">MAX(0,(IF(19&gt;=26,0,Assumptions!B15)+Assumptions!B16*(1+Assumptions!B17)^(19-1)+Assumptions!B18*(1+Assumptions!B21)^(19-1)+Assumptions!B19*(1+Assumptions!B21)^(19-1)+Assumptions!B20*(1+Assumptions!B21)^(19-1))*12)+0+0</f>
        <v>109637.29800068</v>
      </c>
      <c r="H21" s="51" t="n">
        <f aca="false">D21+E21+F21-G21</f>
        <v>2437590.3365057</v>
      </c>
      <c r="I21" s="50" t="n">
        <f aca="false">H21*0.04</f>
        <v>97503.6134602281</v>
      </c>
      <c r="J21" s="52"/>
      <c r="K21" s="48"/>
    </row>
    <row r="22" customFormat="false" ht="15" hidden="false" customHeight="true" outlineLevel="0" collapsed="false">
      <c r="A22" s="47" t="n">
        <v>20</v>
      </c>
      <c r="B22" s="47" t="n">
        <v>55</v>
      </c>
      <c r="C22" s="48" t="s">
        <v>137</v>
      </c>
      <c r="D22" s="49" t="n">
        <f aca="false">H21</f>
        <v>2437590.3365057</v>
      </c>
      <c r="E22" s="50" t="n">
        <f aca="false">D22*Assumptions!B32</f>
        <v>243759.03365057</v>
      </c>
      <c r="F22" s="50" t="s">
        <v>135</v>
      </c>
      <c r="G22" s="50" t="n">
        <f aca="false">MAX(0,(IF(20&gt;=26,0,Assumptions!B15)+Assumptions!B16*(1+Assumptions!B17)^(20-1)+Assumptions!B18*(1+Assumptions!B21)^(20-1)+Assumptions!B19*(1+Assumptions!B21)^(20-1)+Assumptions!B20*(1+Assumptions!B21)^(20-1))*12)+0+0</f>
        <v>111889.6169407</v>
      </c>
      <c r="H22" s="51" t="n">
        <f aca="false">D22+E22+F22-G22</f>
        <v>2569459.75321557</v>
      </c>
      <c r="I22" s="50" t="n">
        <f aca="false">H22*0.04</f>
        <v>102778.390128623</v>
      </c>
      <c r="J22" s="52"/>
      <c r="K22" s="48"/>
    </row>
    <row r="23" customFormat="false" ht="15" hidden="false" customHeight="true" outlineLevel="0" collapsed="false">
      <c r="A23" s="47" t="n">
        <v>21</v>
      </c>
      <c r="B23" s="47" t="n">
        <v>56</v>
      </c>
      <c r="C23" s="48" t="s">
        <v>137</v>
      </c>
      <c r="D23" s="49" t="n">
        <f aca="false">H22</f>
        <v>2569459.75321557</v>
      </c>
      <c r="E23" s="50" t="n">
        <f aca="false">D23*Assumptions!B32</f>
        <v>256945.975321557</v>
      </c>
      <c r="F23" s="50" t="s">
        <v>135</v>
      </c>
      <c r="G23" s="50" t="n">
        <f aca="false">MAX(0,(IF(21&gt;=26,0,Assumptions!B15)+Assumptions!B16*(1+Assumptions!B17)^(21-1)+Assumptions!B18*(1+Assumptions!B21)^(21-1)+Assumptions!B19*(1+Assumptions!B21)^(21-1)+Assumptions!B20*(1+Assumptions!B21)^(21-1))*12)+0+0</f>
        <v>114209.505448921</v>
      </c>
      <c r="H23" s="51" t="n">
        <f aca="false">D23+E23+F23-G23</f>
        <v>2712196.22308821</v>
      </c>
      <c r="I23" s="50" t="n">
        <f aca="false">H23*0.04</f>
        <v>108487.848923528</v>
      </c>
      <c r="J23" s="52"/>
      <c r="K23" s="48"/>
    </row>
    <row r="24" customFormat="false" ht="15" hidden="false" customHeight="true" outlineLevel="0" collapsed="false">
      <c r="A24" s="47" t="n">
        <v>22</v>
      </c>
      <c r="B24" s="47" t="n">
        <v>57</v>
      </c>
      <c r="C24" s="48" t="s">
        <v>137</v>
      </c>
      <c r="D24" s="49" t="n">
        <f aca="false">H23</f>
        <v>2712196.22308821</v>
      </c>
      <c r="E24" s="50" t="n">
        <f aca="false">D24*Assumptions!B32</f>
        <v>271219.622308821</v>
      </c>
      <c r="F24" s="50" t="s">
        <v>135</v>
      </c>
      <c r="G24" s="50" t="n">
        <f aca="false">MAX(0,(IF(22&gt;=26,0,Assumptions!B15)+Assumptions!B16*(1+Assumptions!B17)^(22-1)+Assumptions!B18*(1+Assumptions!B21)^(22-1)+Assumptions!B19*(1+Assumptions!B21)^(22-1)+Assumptions!B20*(1+Assumptions!B21)^(22-1))*12)+0+0</f>
        <v>116598.990612389</v>
      </c>
      <c r="H24" s="51" t="n">
        <f aca="false">D24+E24+F24-G24</f>
        <v>2866816.85478464</v>
      </c>
      <c r="I24" s="50" t="n">
        <f aca="false">H24*0.04</f>
        <v>114672.674191386</v>
      </c>
      <c r="J24" s="52"/>
      <c r="K24" s="48"/>
    </row>
    <row r="25" customFormat="false" ht="15" hidden="false" customHeight="true" outlineLevel="0" collapsed="false">
      <c r="A25" s="47" t="n">
        <v>23</v>
      </c>
      <c r="B25" s="47" t="n">
        <v>58</v>
      </c>
      <c r="C25" s="48" t="s">
        <v>137</v>
      </c>
      <c r="D25" s="49" t="n">
        <f aca="false">H24</f>
        <v>2866816.85478464</v>
      </c>
      <c r="E25" s="50" t="n">
        <f aca="false">D25*Assumptions!B32</f>
        <v>286681.685478464</v>
      </c>
      <c r="F25" s="50" t="s">
        <v>135</v>
      </c>
      <c r="G25" s="50" t="n">
        <f aca="false">MAX(0,(IF(23&gt;=26,0,Assumptions!B15)+Assumptions!B16*(1+Assumptions!B17)^(23-1)+Assumptions!B18*(1+Assumptions!B21)^(23-1)+Assumptions!B19*(1+Assumptions!B21)^(23-1)+Assumptions!B20*(1+Assumptions!B21)^(23-1))*12)+0+0</f>
        <v>119060.160330761</v>
      </c>
      <c r="H25" s="51" t="n">
        <f aca="false">D25+E25+F25-G25</f>
        <v>3034438.37993234</v>
      </c>
      <c r="I25" s="50" t="n">
        <f aca="false">H25*0.04</f>
        <v>121377.535197294</v>
      </c>
      <c r="J25" s="52"/>
      <c r="K25" s="48"/>
    </row>
    <row r="26" customFormat="false" ht="15" hidden="false" customHeight="true" outlineLevel="0" collapsed="false">
      <c r="A26" s="47" t="n">
        <v>24</v>
      </c>
      <c r="B26" s="47" t="n">
        <v>59</v>
      </c>
      <c r="C26" s="48" t="s">
        <v>137</v>
      </c>
      <c r="D26" s="49" t="n">
        <f aca="false">H25</f>
        <v>3034438.37993234</v>
      </c>
      <c r="E26" s="50" t="n">
        <f aca="false">D26*Assumptions!B32</f>
        <v>303443.837993234</v>
      </c>
      <c r="F26" s="50" t="s">
        <v>135</v>
      </c>
      <c r="G26" s="50" t="n">
        <f aca="false">MAX(0,(IF(24&gt;=26,0,Assumptions!B15)+Assumptions!B16*(1+Assumptions!B17)^(24-1)+Assumptions!B18*(1+Assumptions!B21)^(24-1)+Assumptions!B19*(1+Assumptions!B21)^(24-1)+Assumptions!B20*(1+Assumptions!B21)^(24-1))*12)+0+0</f>
        <v>121595.165140683</v>
      </c>
      <c r="H26" s="51" t="n">
        <f aca="false">D26+E26+F26-G26</f>
        <v>3216287.0527849</v>
      </c>
      <c r="I26" s="50" t="n">
        <f aca="false">H26*0.04</f>
        <v>128651.482111396</v>
      </c>
      <c r="J26" s="52"/>
      <c r="K26" s="48"/>
    </row>
    <row r="27" customFormat="false" ht="15" hidden="false" customHeight="true" outlineLevel="0" collapsed="false">
      <c r="A27" s="47" t="n">
        <v>25</v>
      </c>
      <c r="B27" s="47" t="n">
        <v>60</v>
      </c>
      <c r="C27" s="13" t="s">
        <v>138</v>
      </c>
      <c r="D27" s="49" t="n">
        <f aca="false">H26</f>
        <v>3216287.0527849</v>
      </c>
      <c r="E27" s="50" t="n">
        <f aca="false">D27*Assumptions!B32</f>
        <v>321628.70527849</v>
      </c>
      <c r="F27" s="50" t="s">
        <v>135</v>
      </c>
      <c r="G27" s="40" t="n">
        <f aca="false">MAX(0,(IF(25&gt;=26,0,Assumptions!B15)+Assumptions!B16*(1+Assumptions!B17)^(25-1)+Assumptions!B18*(1+Assumptions!B21)^(25-1)+Assumptions!B19*(1+Assumptions!B21)^(25-1)+Assumptions!B20*(1+Assumptions!B21)^(25-1))*12)+0+Assumptions!B47</f>
        <v>926884.220094904</v>
      </c>
      <c r="H27" s="51" t="n">
        <f aca="false">D27+E27+F27-G27</f>
        <v>2611031.53796848</v>
      </c>
      <c r="I27" s="50" t="n">
        <f aca="false">H27*0.04</f>
        <v>104441.261518739</v>
      </c>
      <c r="J27" s="42"/>
      <c r="K27" s="13"/>
    </row>
    <row r="28" customFormat="false" ht="15" hidden="false" customHeight="true" outlineLevel="0" collapsed="false">
      <c r="A28" s="47" t="n">
        <v>26</v>
      </c>
      <c r="B28" s="47" t="n">
        <v>61</v>
      </c>
      <c r="C28" s="48" t="s">
        <v>137</v>
      </c>
      <c r="D28" s="49" t="n">
        <f aca="false">H27</f>
        <v>2611031.53796848</v>
      </c>
      <c r="E28" s="50" t="n">
        <f aca="false">D28*Assumptions!B32</f>
        <v>261103.153796848</v>
      </c>
      <c r="F28" s="50" t="s">
        <v>135</v>
      </c>
      <c r="G28" s="50" t="n">
        <f aca="false">MAX(0,(IF(26&gt;=26,0,Assumptions!B15)+Assumptions!B16*(1+Assumptions!B17)^(26-1)+Assumptions!B18*(1+Assumptions!B21)^(26-1)+Assumptions!B19*(1+Assumptions!B21)^(26-1)+Assumptions!B20*(1+Assumptions!B21)^(26-1))*12)+0+0</f>
        <v>92335.606697751</v>
      </c>
      <c r="H28" s="51" t="n">
        <f aca="false">D28+E28+F28-G28</f>
        <v>2779799.08506758</v>
      </c>
      <c r="I28" s="50" t="n">
        <f aca="false">H28*0.04</f>
        <v>111191.963402703</v>
      </c>
      <c r="J28" s="52"/>
      <c r="K28" s="48"/>
    </row>
    <row r="29" customFormat="false" ht="15" hidden="false" customHeight="true" outlineLevel="0" collapsed="false">
      <c r="A29" s="47" t="n">
        <v>27</v>
      </c>
      <c r="B29" s="47" t="n">
        <v>62</v>
      </c>
      <c r="C29" s="48" t="s">
        <v>137</v>
      </c>
      <c r="D29" s="49" t="n">
        <f aca="false">H28</f>
        <v>2779799.08506758</v>
      </c>
      <c r="E29" s="50" t="n">
        <f aca="false">D29*Assumptions!B32</f>
        <v>277979.908506758</v>
      </c>
      <c r="F29" s="50" t="s">
        <v>135</v>
      </c>
      <c r="G29" s="50" t="n">
        <f aca="false">MAX(0,(IF(27&gt;=26,0,Assumptions!B15)+Assumptions!B16*(1+Assumptions!B17)^(27-1)+Assumptions!B18*(1+Assumptions!B21)^(27-1)+Assumptions!B19*(1+Assumptions!B21)^(27-1)+Assumptions!B20*(1+Assumptions!B21)^(27-1))*12)+0+0</f>
        <v>95105.6748986835</v>
      </c>
      <c r="H29" s="51" t="n">
        <f aca="false">D29+E29+F29-G29</f>
        <v>2962673.31867565</v>
      </c>
      <c r="I29" s="50" t="n">
        <f aca="false">H29*0.04</f>
        <v>118506.932747026</v>
      </c>
      <c r="J29" s="52"/>
      <c r="K29" s="48"/>
    </row>
    <row r="30" customFormat="false" ht="15" hidden="false" customHeight="true" outlineLevel="0" collapsed="false">
      <c r="A30" s="47" t="n">
        <v>28</v>
      </c>
      <c r="B30" s="47" t="n">
        <v>63</v>
      </c>
      <c r="C30" s="48" t="s">
        <v>137</v>
      </c>
      <c r="D30" s="49" t="n">
        <f aca="false">H29</f>
        <v>2962673.31867565</v>
      </c>
      <c r="E30" s="50" t="n">
        <f aca="false">D30*Assumptions!B32</f>
        <v>296267.331867565</v>
      </c>
      <c r="F30" s="50" t="s">
        <v>135</v>
      </c>
      <c r="G30" s="50" t="n">
        <f aca="false">MAX(0,(IF(28&gt;=26,0,Assumptions!B15)+Assumptions!B16*(1+Assumptions!B17)^(28-1)+Assumptions!B18*(1+Assumptions!B21)^(28-1)+Assumptions!B19*(1+Assumptions!B21)^(28-1)+Assumptions!B20*(1+Assumptions!B21)^(28-1))*12)+0+0</f>
        <v>97958.845145644</v>
      </c>
      <c r="H30" s="51" t="n">
        <f aca="false">D30+E30+F30-G30</f>
        <v>3160981.80539758</v>
      </c>
      <c r="I30" s="50" t="n">
        <f aca="false">H30*0.04</f>
        <v>126439.272215903</v>
      </c>
      <c r="J30" s="52"/>
      <c r="K30" s="48"/>
    </row>
    <row r="31" customFormat="false" ht="15" hidden="false" customHeight="true" outlineLevel="0" collapsed="false">
      <c r="A31" s="47" t="n">
        <v>29</v>
      </c>
      <c r="B31" s="47" t="n">
        <v>64</v>
      </c>
      <c r="C31" s="48" t="s">
        <v>137</v>
      </c>
      <c r="D31" s="49" t="n">
        <f aca="false">H30</f>
        <v>3160981.80539758</v>
      </c>
      <c r="E31" s="50" t="n">
        <f aca="false">D31*Assumptions!B32</f>
        <v>316098.180539758</v>
      </c>
      <c r="F31" s="50" t="s">
        <v>135</v>
      </c>
      <c r="G31" s="50" t="n">
        <f aca="false">MAX(0,(IF(29&gt;=26,0,Assumptions!B15)+Assumptions!B16*(1+Assumptions!B17)^(29-1)+Assumptions!B18*(1+Assumptions!B21)^(29-1)+Assumptions!B19*(1+Assumptions!B21)^(29-1)+Assumptions!B20*(1+Assumptions!B21)^(29-1))*12)+0+0</f>
        <v>100897.610500013</v>
      </c>
      <c r="H31" s="51" t="n">
        <f aca="false">D31+E31+F31-G31</f>
        <v>3376182.37543732</v>
      </c>
      <c r="I31" s="50" t="n">
        <f aca="false">H31*0.04</f>
        <v>135047.295017493</v>
      </c>
      <c r="J31" s="52"/>
      <c r="K31" s="48"/>
    </row>
    <row r="32" customFormat="false" ht="15" hidden="false" customHeight="true" outlineLevel="0" collapsed="false">
      <c r="A32" s="47" t="n">
        <v>30</v>
      </c>
      <c r="B32" s="47" t="n">
        <v>65</v>
      </c>
      <c r="C32" s="48" t="s">
        <v>137</v>
      </c>
      <c r="D32" s="49" t="n">
        <f aca="false">H31</f>
        <v>3376182.37543732</v>
      </c>
      <c r="E32" s="50" t="n">
        <f aca="false">D32*Assumptions!B32</f>
        <v>337618.237543732</v>
      </c>
      <c r="F32" s="50" t="s">
        <v>135</v>
      </c>
      <c r="G32" s="50" t="n">
        <f aca="false">MAX(0,(IF(30&gt;=26,0,Assumptions!B15)+Assumptions!B16*(1+Assumptions!B17)^(30-1)+Assumptions!B18*(1+Assumptions!B21)^(30-1)+Assumptions!B19*(1+Assumptions!B21)^(30-1)+Assumptions!B20*(1+Assumptions!B21)^(30-1))*12)+0+0</f>
        <v>103924.538815014</v>
      </c>
      <c r="H32" s="51" t="n">
        <f aca="false">D32+E32+F32-G32</f>
        <v>3609876.07416604</v>
      </c>
      <c r="I32" s="50" t="n">
        <f aca="false">H32*0.04</f>
        <v>144395.042966642</v>
      </c>
      <c r="J32" s="52"/>
      <c r="K32" s="48"/>
    </row>
    <row r="33" customFormat="false" ht="15" hidden="false" customHeight="true" outlineLevel="0" collapsed="false">
      <c r="A33" s="53" t="n">
        <v>31</v>
      </c>
      <c r="B33" s="53" t="n">
        <v>66</v>
      </c>
      <c r="C33" s="48" t="s">
        <v>137</v>
      </c>
      <c r="D33" s="49" t="n">
        <f aca="false">H32</f>
        <v>3609876.07416604</v>
      </c>
      <c r="E33" s="50" t="n">
        <f aca="false">D33*Assumptions!B32</f>
        <v>360987.607416604</v>
      </c>
      <c r="F33" s="50" t="s">
        <v>135</v>
      </c>
      <c r="G33" s="50" t="n">
        <f aca="false">MAX(0,(IF(31&gt;=26,0,Assumptions!B15)+Assumptions!B16*(1+Assumptions!B17)^(31-1)+Assumptions!B18*(1+Assumptions!B21)^(31-1)+Assumptions!B19*(1+Assumptions!B21)^(31-1)+Assumptions!B20*(1+Assumptions!B21)^(31-1))*12)+0+0</f>
        <v>107042.274979464</v>
      </c>
      <c r="H33" s="51" t="n">
        <f aca="false">D33+E33+F33-G33</f>
        <v>3863821.40660318</v>
      </c>
      <c r="I33" s="50" t="n">
        <f aca="false">H33*0.04</f>
        <v>154552.856264127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"/>
    <col collapsed="false" customWidth="true" hidden="false" outlineLevel="0" max="3" min="3" style="1" width="13"/>
    <col collapsed="false" customWidth="true" hidden="false" outlineLevel="0" max="4" min="4" style="1" width="15"/>
    <col collapsed="false" customWidth="true" hidden="false" outlineLevel="0" max="8" min="5" style="1" width="13"/>
    <col collapsed="false" customWidth="true" hidden="false" outlineLevel="0" max="9" min="9" style="1" width="15"/>
  </cols>
  <sheetData>
    <row r="1" customFormat="false" ht="19.5" hidden="false" customHeight="true" outlineLevel="0" collapsed="false">
      <c r="A1" s="26" t="s">
        <v>139</v>
      </c>
      <c r="B1" s="26"/>
      <c r="C1" s="26"/>
      <c r="D1" s="26"/>
      <c r="E1" s="26"/>
      <c r="F1" s="26"/>
      <c r="G1" s="26"/>
      <c r="H1" s="26"/>
      <c r="I1" s="26"/>
    </row>
    <row r="2" customFormat="false" ht="15" hidden="false" customHeight="true" outlineLevel="0" collapsed="false">
      <c r="A2" s="37" t="s">
        <v>125</v>
      </c>
      <c r="B2" s="37" t="s">
        <v>23</v>
      </c>
      <c r="C2" s="37" t="s">
        <v>126</v>
      </c>
      <c r="D2" s="37" t="s">
        <v>127</v>
      </c>
      <c r="E2" s="37" t="s">
        <v>128</v>
      </c>
      <c r="F2" s="37" t="s">
        <v>140</v>
      </c>
      <c r="G2" s="37" t="s">
        <v>141</v>
      </c>
      <c r="H2" s="37" t="s">
        <v>142</v>
      </c>
      <c r="I2" s="37" t="s">
        <v>132</v>
      </c>
    </row>
    <row r="3" customFormat="false" ht="15" hidden="false" customHeight="true" outlineLevel="0" collapsed="false">
      <c r="A3" s="38" t="n">
        <v>1</v>
      </c>
      <c r="B3" s="38" t="n">
        <v>36</v>
      </c>
      <c r="C3" s="13" t="s">
        <v>134</v>
      </c>
      <c r="D3" s="39" t="n">
        <f aca="false">Assumptions!B31</f>
        <v>176000</v>
      </c>
      <c r="E3" s="40" t="n">
        <f aca="false">D3*Assumptions!B27</f>
        <v>14080</v>
      </c>
      <c r="F3" s="40" t="n">
        <f aca="false">Assumptions!B25</f>
        <v>16533</v>
      </c>
      <c r="G3" s="40" t="n">
        <f aca="false">IF(1&gt;=6,Assumptions!B28,0)</f>
        <v>0</v>
      </c>
      <c r="H3" s="41" t="n">
        <f aca="false">D3+E3+F3+G3</f>
        <v>206613</v>
      </c>
      <c r="I3" s="18"/>
    </row>
    <row r="4" customFormat="false" ht="15" hidden="false" customHeight="true" outlineLevel="0" collapsed="false">
      <c r="A4" s="38" t="n">
        <v>2</v>
      </c>
      <c r="B4" s="38" t="n">
        <v>37</v>
      </c>
      <c r="C4" s="13" t="s">
        <v>134</v>
      </c>
      <c r="D4" s="39" t="n">
        <f aca="false">H3</f>
        <v>206613</v>
      </c>
      <c r="E4" s="40" t="n">
        <f aca="false">D4*Assumptions!B27</f>
        <v>16529.04</v>
      </c>
      <c r="F4" s="40" t="n">
        <f aca="false">Assumptions!B26*(1+Assumptions!B12)^(2-2)</f>
        <v>17222</v>
      </c>
      <c r="G4" s="40" t="n">
        <f aca="false">IF(2&gt;=6,Assumptions!B28,0)</f>
        <v>0</v>
      </c>
      <c r="H4" s="41" t="n">
        <f aca="false">D4+E4+F4+G4</f>
        <v>240364.04</v>
      </c>
      <c r="I4" s="18"/>
    </row>
    <row r="5" customFormat="false" ht="15" hidden="false" customHeight="true" outlineLevel="0" collapsed="false">
      <c r="A5" s="38" t="n">
        <v>3</v>
      </c>
      <c r="B5" s="38" t="n">
        <v>38</v>
      </c>
      <c r="C5" s="13" t="s">
        <v>134</v>
      </c>
      <c r="D5" s="39" t="n">
        <f aca="false">H4</f>
        <v>240364.04</v>
      </c>
      <c r="E5" s="40" t="n">
        <f aca="false">D5*Assumptions!B27</f>
        <v>19229.1232</v>
      </c>
      <c r="F5" s="40" t="n">
        <f aca="false">Assumptions!B26*(1+Assumptions!B12)^(3-2)</f>
        <v>17738.66</v>
      </c>
      <c r="G5" s="40" t="n">
        <f aca="false">IF(3&gt;=6,Assumptions!B28,0)</f>
        <v>0</v>
      </c>
      <c r="H5" s="41" t="n">
        <f aca="false">D5+E5+F5+G5</f>
        <v>277331.8232</v>
      </c>
      <c r="I5" s="18"/>
    </row>
    <row r="6" customFormat="false" ht="15" hidden="false" customHeight="true" outlineLevel="0" collapsed="false">
      <c r="A6" s="38" t="n">
        <v>4</v>
      </c>
      <c r="B6" s="38" t="n">
        <v>39</v>
      </c>
      <c r="C6" s="13" t="s">
        <v>134</v>
      </c>
      <c r="D6" s="39" t="n">
        <f aca="false">H5</f>
        <v>277331.8232</v>
      </c>
      <c r="E6" s="40" t="n">
        <f aca="false">D6*Assumptions!B27</f>
        <v>22186.545856</v>
      </c>
      <c r="F6" s="40" t="n">
        <f aca="false">Assumptions!B26*(1+Assumptions!B12)^(4-2)</f>
        <v>18270.8198</v>
      </c>
      <c r="G6" s="40" t="n">
        <f aca="false">IF(4&gt;=6,Assumptions!B28,0)</f>
        <v>0</v>
      </c>
      <c r="H6" s="41" t="n">
        <f aca="false">D6+E6+F6+G6</f>
        <v>317789.188856</v>
      </c>
      <c r="I6" s="18"/>
    </row>
    <row r="7" customFormat="false" ht="15" hidden="false" customHeight="true" outlineLevel="0" collapsed="false">
      <c r="A7" s="38" t="n">
        <v>5</v>
      </c>
      <c r="B7" s="38" t="n">
        <v>40</v>
      </c>
      <c r="C7" s="13" t="s">
        <v>134</v>
      </c>
      <c r="D7" s="39" t="n">
        <f aca="false">H6</f>
        <v>317789.188856</v>
      </c>
      <c r="E7" s="40" t="n">
        <f aca="false">D7*Assumptions!B27</f>
        <v>25423.13510848</v>
      </c>
      <c r="F7" s="40" t="n">
        <f aca="false">Assumptions!B26*(1+Assumptions!B12)^(5-2)</f>
        <v>18818.944394</v>
      </c>
      <c r="G7" s="40" t="n">
        <f aca="false">IF(5&gt;=6,Assumptions!B28,0)</f>
        <v>0</v>
      </c>
      <c r="H7" s="41" t="n">
        <f aca="false">D7+E7+F7+G7</f>
        <v>362031.26835848</v>
      </c>
      <c r="I7" s="18"/>
    </row>
    <row r="8" customFormat="false" ht="15" hidden="false" customHeight="true" outlineLevel="0" collapsed="false">
      <c r="A8" s="38" t="n">
        <v>6</v>
      </c>
      <c r="B8" s="38" t="n">
        <v>41</v>
      </c>
      <c r="C8" s="13" t="s">
        <v>134</v>
      </c>
      <c r="D8" s="39" t="n">
        <f aca="false">H7</f>
        <v>362031.26835848</v>
      </c>
      <c r="E8" s="40" t="n">
        <f aca="false">D8*Assumptions!B27</f>
        <v>28962.5014686784</v>
      </c>
      <c r="F8" s="40" t="n">
        <f aca="false">Assumptions!B26*(1+Assumptions!B12)^(6-2)</f>
        <v>19383.51272582</v>
      </c>
      <c r="G8" s="40" t="n">
        <f aca="false">IF(6&gt;=6,Assumptions!B28,0)</f>
        <v>10000</v>
      </c>
      <c r="H8" s="41" t="n">
        <f aca="false">D8+E8+F8+G8</f>
        <v>420377.282552978</v>
      </c>
      <c r="I8" s="18"/>
    </row>
    <row r="9" customFormat="false" ht="15" hidden="false" customHeight="true" outlineLevel="0" collapsed="false">
      <c r="A9" s="38" t="n">
        <v>7</v>
      </c>
      <c r="B9" s="38" t="n">
        <v>42</v>
      </c>
      <c r="C9" s="13" t="s">
        <v>134</v>
      </c>
      <c r="D9" s="39" t="n">
        <f aca="false">H8</f>
        <v>420377.282552978</v>
      </c>
      <c r="E9" s="40" t="n">
        <f aca="false">D9*Assumptions!B27</f>
        <v>33630.1826042383</v>
      </c>
      <c r="F9" s="40" t="n">
        <f aca="false">Assumptions!B26*(1+Assumptions!B12)^(7-2)</f>
        <v>19965.0181075946</v>
      </c>
      <c r="G9" s="40" t="n">
        <f aca="false">IF(7&gt;=6,Assumptions!B28,0)</f>
        <v>10000</v>
      </c>
      <c r="H9" s="41" t="n">
        <f aca="false">D9+E9+F9+G9</f>
        <v>483972.483264811</v>
      </c>
      <c r="I9" s="18"/>
    </row>
    <row r="10" customFormat="false" ht="15" hidden="false" customHeight="true" outlineLevel="0" collapsed="false">
      <c r="A10" s="38" t="n">
        <v>8</v>
      </c>
      <c r="B10" s="38" t="n">
        <v>43</v>
      </c>
      <c r="C10" s="13" t="s">
        <v>134</v>
      </c>
      <c r="D10" s="39" t="n">
        <f aca="false">H9</f>
        <v>483972.483264811</v>
      </c>
      <c r="E10" s="40" t="n">
        <f aca="false">D10*Assumptions!B27</f>
        <v>38717.7986611849</v>
      </c>
      <c r="F10" s="40" t="n">
        <f aca="false">Assumptions!B26*(1+Assumptions!B12)^(8-2)</f>
        <v>20563.9686508224</v>
      </c>
      <c r="G10" s="40" t="n">
        <f aca="false">IF(8&gt;=6,Assumptions!B28,0)</f>
        <v>10000</v>
      </c>
      <c r="H10" s="41" t="n">
        <f aca="false">D10+E10+F10+G10</f>
        <v>553254.250576819</v>
      </c>
      <c r="I10" s="18"/>
    </row>
    <row r="11" customFormat="false" ht="15" hidden="false" customHeight="true" outlineLevel="0" collapsed="false">
      <c r="A11" s="38" t="n">
        <v>9</v>
      </c>
      <c r="B11" s="38" t="n">
        <v>44</v>
      </c>
      <c r="C11" s="13" t="s">
        <v>134</v>
      </c>
      <c r="D11" s="39" t="n">
        <f aca="false">H10</f>
        <v>553254.250576819</v>
      </c>
      <c r="E11" s="40" t="n">
        <f aca="false">D11*Assumptions!B27</f>
        <v>44260.3400461455</v>
      </c>
      <c r="F11" s="40" t="n">
        <f aca="false">Assumptions!B26*(1+Assumptions!B12)^(9-2)</f>
        <v>21180.8877103471</v>
      </c>
      <c r="G11" s="40" t="n">
        <f aca="false">IF(9&gt;=6,Assumptions!B28,0)</f>
        <v>10000</v>
      </c>
      <c r="H11" s="41" t="n">
        <f aca="false">D11+E11+F11+G11</f>
        <v>628695.478333311</v>
      </c>
      <c r="I11" s="18"/>
    </row>
    <row r="12" customFormat="false" ht="15" hidden="false" customHeight="true" outlineLevel="0" collapsed="false">
      <c r="A12" s="43" t="n">
        <v>10</v>
      </c>
      <c r="B12" s="43" t="n">
        <v>45</v>
      </c>
      <c r="C12" s="6" t="s">
        <v>136</v>
      </c>
      <c r="D12" s="44" t="n">
        <f aca="false">H11</f>
        <v>628695.478333311</v>
      </c>
      <c r="E12" s="45" t="n">
        <f aca="false">D12*Assumptions!B27</f>
        <v>50295.6382666649</v>
      </c>
      <c r="F12" s="45" t="n">
        <f aca="false">Assumptions!B26*0.5*(1+Assumptions!B12)^(10-2)</f>
        <v>10908.1571708288</v>
      </c>
      <c r="G12" s="45" t="n">
        <f aca="false">Assumptions!B28</f>
        <v>10000</v>
      </c>
      <c r="H12" s="46" t="n">
        <f aca="false">D12+E12+F12+G12</f>
        <v>699899.273770805</v>
      </c>
      <c r="I12" s="8"/>
    </row>
    <row r="13" customFormat="false" ht="15" hidden="false" customHeight="true" outlineLevel="0" collapsed="false">
      <c r="A13" s="43" t="n">
        <v>11</v>
      </c>
      <c r="B13" s="43" t="n">
        <v>46</v>
      </c>
      <c r="C13" s="6" t="s">
        <v>136</v>
      </c>
      <c r="D13" s="44" t="n">
        <f aca="false">H12</f>
        <v>699899.273770805</v>
      </c>
      <c r="E13" s="45" t="n">
        <f aca="false">D13*Assumptions!B27</f>
        <v>55991.9419016644</v>
      </c>
      <c r="F13" s="45" t="n">
        <f aca="false">Assumptions!B26*0.5*(1+Assumptions!B12)^(11-2)</f>
        <v>11235.4018859536</v>
      </c>
      <c r="G13" s="45" t="n">
        <f aca="false">Assumptions!B28</f>
        <v>10000</v>
      </c>
      <c r="H13" s="46" t="n">
        <f aca="false">D13+E13+F13+G13</f>
        <v>777126.617558423</v>
      </c>
      <c r="I13" s="8"/>
    </row>
    <row r="14" customFormat="false" ht="15" hidden="false" customHeight="true" outlineLevel="0" collapsed="false">
      <c r="A14" s="43" t="n">
        <v>12</v>
      </c>
      <c r="B14" s="43" t="n">
        <v>47</v>
      </c>
      <c r="C14" s="6" t="s">
        <v>136</v>
      </c>
      <c r="D14" s="44" t="n">
        <f aca="false">H13</f>
        <v>777126.617558423</v>
      </c>
      <c r="E14" s="45" t="n">
        <f aca="false">D14*Assumptions!B27</f>
        <v>62170.1294046738</v>
      </c>
      <c r="F14" s="45" t="n">
        <f aca="false">Assumptions!B26*0.5*(1+Assumptions!B12)^(12-2)</f>
        <v>11572.4639425322</v>
      </c>
      <c r="G14" s="45" t="n">
        <f aca="false">Assumptions!B28</f>
        <v>10000</v>
      </c>
      <c r="H14" s="46" t="n">
        <f aca="false">D14+E14+F14+G14</f>
        <v>860869.210905629</v>
      </c>
      <c r="I14" s="8"/>
    </row>
    <row r="15" customFormat="false" ht="15" hidden="false" customHeight="true" outlineLevel="0" collapsed="false">
      <c r="A15" s="43" t="n">
        <v>13</v>
      </c>
      <c r="B15" s="43" t="n">
        <v>48</v>
      </c>
      <c r="C15" s="6" t="s">
        <v>136</v>
      </c>
      <c r="D15" s="44" t="n">
        <f aca="false">H14</f>
        <v>860869.210905629</v>
      </c>
      <c r="E15" s="45" t="n">
        <f aca="false">D15*Assumptions!B27</f>
        <v>68869.5368724503</v>
      </c>
      <c r="F15" s="45" t="n">
        <f aca="false">Assumptions!B26*0.5*(1+Assumptions!B12)^(13-2)</f>
        <v>11919.6378608082</v>
      </c>
      <c r="G15" s="45" t="n">
        <f aca="false">Assumptions!B28</f>
        <v>10000</v>
      </c>
      <c r="H15" s="46" t="n">
        <f aca="false">D15+E15+F15+G15</f>
        <v>951658.385638887</v>
      </c>
      <c r="I15" s="8"/>
    </row>
    <row r="16" customFormat="false" ht="15" hidden="false" customHeight="true" outlineLevel="0" collapsed="false">
      <c r="A16" s="43" t="n">
        <v>14</v>
      </c>
      <c r="B16" s="43" t="n">
        <v>49</v>
      </c>
      <c r="C16" s="6" t="s">
        <v>136</v>
      </c>
      <c r="D16" s="44" t="n">
        <f aca="false">H15</f>
        <v>951658.385638887</v>
      </c>
      <c r="E16" s="45" t="n">
        <f aca="false">D16*Assumptions!B27</f>
        <v>76132.670851111</v>
      </c>
      <c r="F16" s="45" t="n">
        <f aca="false">Assumptions!B26*0.5*(1+Assumptions!B12)^(14-2)</f>
        <v>12277.2269966325</v>
      </c>
      <c r="G16" s="45" t="n">
        <f aca="false">Assumptions!B28</f>
        <v>10000</v>
      </c>
      <c r="H16" s="46" t="n">
        <f aca="false">D16+E16+F16+G16</f>
        <v>1050068.28348663</v>
      </c>
      <c r="I16" s="8"/>
    </row>
    <row r="17" customFormat="false" ht="15" hidden="false" customHeight="true" outlineLevel="0" collapsed="false">
      <c r="A17" s="47" t="n">
        <v>15</v>
      </c>
      <c r="B17" s="47" t="n">
        <v>50</v>
      </c>
      <c r="C17" s="48" t="s">
        <v>137</v>
      </c>
      <c r="D17" s="49" t="n">
        <f aca="false">H16</f>
        <v>1050068.28348663</v>
      </c>
      <c r="E17" s="50" t="n">
        <f aca="false">D17*Assumptions!B27</f>
        <v>84005.4626789305</v>
      </c>
      <c r="F17" s="50" t="s">
        <v>135</v>
      </c>
      <c r="G17" s="50" t="s">
        <v>135</v>
      </c>
      <c r="H17" s="51" t="n">
        <f aca="false">D17+E17+F17+G17</f>
        <v>1134073.74616556</v>
      </c>
      <c r="I17" s="12"/>
    </row>
    <row r="18" customFormat="false" ht="15" hidden="false" customHeight="true" outlineLevel="0" collapsed="false">
      <c r="A18" s="47" t="n">
        <v>16</v>
      </c>
      <c r="B18" s="47" t="n">
        <v>51</v>
      </c>
      <c r="C18" s="48" t="s">
        <v>137</v>
      </c>
      <c r="D18" s="49" t="n">
        <f aca="false">H17</f>
        <v>1134073.74616556</v>
      </c>
      <c r="E18" s="50" t="n">
        <f aca="false">D18*Assumptions!B27</f>
        <v>90725.8996932449</v>
      </c>
      <c r="F18" s="50" t="s">
        <v>135</v>
      </c>
      <c r="G18" s="50" t="s">
        <v>135</v>
      </c>
      <c r="H18" s="51" t="n">
        <f aca="false">D18+E18+F18+G18</f>
        <v>1224799.64585881</v>
      </c>
      <c r="I18" s="12"/>
    </row>
    <row r="19" customFormat="false" ht="15" hidden="false" customHeight="true" outlineLevel="0" collapsed="false">
      <c r="A19" s="47" t="n">
        <v>17</v>
      </c>
      <c r="B19" s="47" t="n">
        <v>52</v>
      </c>
      <c r="C19" s="48" t="s">
        <v>137</v>
      </c>
      <c r="D19" s="49" t="n">
        <f aca="false">H18</f>
        <v>1224799.64585881</v>
      </c>
      <c r="E19" s="50" t="n">
        <f aca="false">D19*Assumptions!B27</f>
        <v>97983.9716687045</v>
      </c>
      <c r="F19" s="50" t="s">
        <v>135</v>
      </c>
      <c r="G19" s="50" t="s">
        <v>135</v>
      </c>
      <c r="H19" s="51" t="n">
        <f aca="false">D19+E19+F19+G19</f>
        <v>1322783.61752751</v>
      </c>
      <c r="I19" s="12"/>
    </row>
    <row r="20" customFormat="false" ht="15" hidden="false" customHeight="true" outlineLevel="0" collapsed="false">
      <c r="A20" s="47" t="n">
        <v>18</v>
      </c>
      <c r="B20" s="47" t="n">
        <v>53</v>
      </c>
      <c r="C20" s="48" t="s">
        <v>137</v>
      </c>
      <c r="D20" s="49" t="n">
        <f aca="false">H19</f>
        <v>1322783.61752751</v>
      </c>
      <c r="E20" s="50" t="n">
        <f aca="false">D20*Assumptions!B27</f>
        <v>105822.689402201</v>
      </c>
      <c r="F20" s="50" t="s">
        <v>135</v>
      </c>
      <c r="G20" s="50" t="s">
        <v>135</v>
      </c>
      <c r="H20" s="51" t="n">
        <f aca="false">D20+E20+F20+G20</f>
        <v>1428606.30692971</v>
      </c>
      <c r="I20" s="12"/>
    </row>
    <row r="21" customFormat="false" ht="15" hidden="false" customHeight="true" outlineLevel="0" collapsed="false">
      <c r="A21" s="47" t="n">
        <v>19</v>
      </c>
      <c r="B21" s="47" t="n">
        <v>54</v>
      </c>
      <c r="C21" s="48" t="s">
        <v>137</v>
      </c>
      <c r="D21" s="49" t="n">
        <f aca="false">H20</f>
        <v>1428606.30692971</v>
      </c>
      <c r="E21" s="50" t="n">
        <f aca="false">D21*Assumptions!B27</f>
        <v>114288.504554377</v>
      </c>
      <c r="F21" s="50" t="s">
        <v>135</v>
      </c>
      <c r="G21" s="50" t="s">
        <v>135</v>
      </c>
      <c r="H21" s="51" t="n">
        <f aca="false">D21+E21+F21+G21</f>
        <v>1542894.81148409</v>
      </c>
      <c r="I21" s="12"/>
    </row>
    <row r="22" customFormat="false" ht="15" hidden="false" customHeight="true" outlineLevel="0" collapsed="false">
      <c r="A22" s="47" t="n">
        <v>20</v>
      </c>
      <c r="B22" s="47" t="n">
        <v>55</v>
      </c>
      <c r="C22" s="48" t="s">
        <v>137</v>
      </c>
      <c r="D22" s="49" t="n">
        <f aca="false">H21</f>
        <v>1542894.81148409</v>
      </c>
      <c r="E22" s="50" t="n">
        <f aca="false">D22*Assumptions!B27</f>
        <v>123431.584918727</v>
      </c>
      <c r="F22" s="50" t="s">
        <v>135</v>
      </c>
      <c r="G22" s="50" t="s">
        <v>135</v>
      </c>
      <c r="H22" s="51" t="n">
        <f aca="false">D22+E22+F22+G22</f>
        <v>1666326.39640282</v>
      </c>
      <c r="I22" s="12"/>
    </row>
    <row r="23" customFormat="false" ht="15" hidden="false" customHeight="true" outlineLevel="0" collapsed="false">
      <c r="A23" s="47" t="n">
        <v>21</v>
      </c>
      <c r="B23" s="47" t="n">
        <v>56</v>
      </c>
      <c r="C23" s="48" t="s">
        <v>137</v>
      </c>
      <c r="D23" s="49" t="n">
        <f aca="false">H22</f>
        <v>1666326.39640282</v>
      </c>
      <c r="E23" s="50" t="n">
        <f aca="false">D23*Assumptions!B27</f>
        <v>133306.111712225</v>
      </c>
      <c r="F23" s="50" t="s">
        <v>135</v>
      </c>
      <c r="G23" s="50" t="s">
        <v>135</v>
      </c>
      <c r="H23" s="51" t="n">
        <f aca="false">D23+E23+F23+G23</f>
        <v>1799632.50811504</v>
      </c>
      <c r="I23" s="12"/>
    </row>
    <row r="24" customFormat="false" ht="15" hidden="false" customHeight="true" outlineLevel="0" collapsed="false">
      <c r="A24" s="47" t="n">
        <v>22</v>
      </c>
      <c r="B24" s="47" t="n">
        <v>57</v>
      </c>
      <c r="C24" s="48" t="s">
        <v>137</v>
      </c>
      <c r="D24" s="49" t="n">
        <f aca="false">H23</f>
        <v>1799632.50811504</v>
      </c>
      <c r="E24" s="50" t="n">
        <f aca="false">D24*Assumptions!B27</f>
        <v>143970.600649203</v>
      </c>
      <c r="F24" s="50" t="s">
        <v>135</v>
      </c>
      <c r="G24" s="50" t="s">
        <v>135</v>
      </c>
      <c r="H24" s="51" t="n">
        <f aca="false">D24+E24+F24+G24</f>
        <v>1943603.10876424</v>
      </c>
      <c r="I24" s="12"/>
    </row>
    <row r="25" customFormat="false" ht="15" hidden="false" customHeight="true" outlineLevel="0" collapsed="false">
      <c r="A25" s="47" t="n">
        <v>23</v>
      </c>
      <c r="B25" s="47" t="n">
        <v>58</v>
      </c>
      <c r="C25" s="48" t="s">
        <v>137</v>
      </c>
      <c r="D25" s="49" t="n">
        <f aca="false">H24</f>
        <v>1943603.10876424</v>
      </c>
      <c r="E25" s="50" t="n">
        <f aca="false">D25*Assumptions!B27</f>
        <v>155488.24870114</v>
      </c>
      <c r="F25" s="50" t="s">
        <v>135</v>
      </c>
      <c r="G25" s="50" t="s">
        <v>135</v>
      </c>
      <c r="H25" s="51" t="n">
        <f aca="false">D25+E25+F25+G25</f>
        <v>2099091.35746538</v>
      </c>
      <c r="I25" s="12"/>
    </row>
    <row r="26" customFormat="false" ht="15" hidden="false" customHeight="true" outlineLevel="0" collapsed="false">
      <c r="A26" s="47" t="n">
        <v>24</v>
      </c>
      <c r="B26" s="47" t="n">
        <v>59</v>
      </c>
      <c r="C26" s="48" t="s">
        <v>137</v>
      </c>
      <c r="D26" s="49" t="n">
        <f aca="false">H25</f>
        <v>2099091.35746538</v>
      </c>
      <c r="E26" s="50" t="n">
        <f aca="false">D26*Assumptions!B27</f>
        <v>167927.308597231</v>
      </c>
      <c r="F26" s="50" t="s">
        <v>135</v>
      </c>
      <c r="G26" s="50" t="s">
        <v>135</v>
      </c>
      <c r="H26" s="51" t="n">
        <f aca="false">D26+E26+F26+G26</f>
        <v>2267018.66606261</v>
      </c>
      <c r="I26" s="12"/>
    </row>
    <row r="27" customFormat="false" ht="15" hidden="false" customHeight="true" outlineLevel="0" collapsed="false">
      <c r="A27" s="47" t="n">
        <v>25</v>
      </c>
      <c r="B27" s="47" t="n">
        <v>60</v>
      </c>
      <c r="C27" s="48" t="s">
        <v>137</v>
      </c>
      <c r="D27" s="49" t="n">
        <f aca="false">H26</f>
        <v>2267018.66606261</v>
      </c>
      <c r="E27" s="50" t="n">
        <f aca="false">D27*Assumptions!B27</f>
        <v>181361.493285009</v>
      </c>
      <c r="F27" s="50" t="s">
        <v>135</v>
      </c>
      <c r="G27" s="50" t="s">
        <v>135</v>
      </c>
      <c r="H27" s="51" t="n">
        <f aca="false">D27+E27+F27+G27</f>
        <v>2448380.15934762</v>
      </c>
      <c r="I27" s="12"/>
    </row>
    <row r="28" customFormat="false" ht="15" hidden="false" customHeight="true" outlineLevel="0" collapsed="false">
      <c r="A28" s="47" t="n">
        <v>26</v>
      </c>
      <c r="B28" s="47" t="n">
        <v>61</v>
      </c>
      <c r="C28" s="48" t="s">
        <v>137</v>
      </c>
      <c r="D28" s="49" t="n">
        <f aca="false">H27</f>
        <v>2448380.15934762</v>
      </c>
      <c r="E28" s="50" t="n">
        <f aca="false">D28*Assumptions!B27</f>
        <v>195870.41274781</v>
      </c>
      <c r="F28" s="50" t="s">
        <v>135</v>
      </c>
      <c r="G28" s="50" t="s">
        <v>135</v>
      </c>
      <c r="H28" s="51" t="n">
        <f aca="false">D28+E28+F28+G28</f>
        <v>2644250.57209543</v>
      </c>
      <c r="I28" s="12"/>
    </row>
    <row r="29" customFormat="false" ht="15" hidden="false" customHeight="true" outlineLevel="0" collapsed="false">
      <c r="A29" s="47" t="n">
        <v>27</v>
      </c>
      <c r="B29" s="47" t="n">
        <v>62</v>
      </c>
      <c r="C29" s="48" t="s">
        <v>137</v>
      </c>
      <c r="D29" s="49" t="n">
        <f aca="false">H28</f>
        <v>2644250.57209543</v>
      </c>
      <c r="E29" s="50" t="n">
        <f aca="false">D29*Assumptions!B27</f>
        <v>211540.045767635</v>
      </c>
      <c r="F29" s="50" t="s">
        <v>135</v>
      </c>
      <c r="G29" s="50" t="s">
        <v>135</v>
      </c>
      <c r="H29" s="51" t="n">
        <f aca="false">D29+E29+F29+G29</f>
        <v>2855790.61786307</v>
      </c>
      <c r="I29" s="12"/>
    </row>
    <row r="30" customFormat="false" ht="15" hidden="false" customHeight="true" outlineLevel="0" collapsed="false">
      <c r="A30" s="47" t="n">
        <v>28</v>
      </c>
      <c r="B30" s="47" t="n">
        <v>63</v>
      </c>
      <c r="C30" s="48" t="s">
        <v>137</v>
      </c>
      <c r="D30" s="49" t="n">
        <f aca="false">H29</f>
        <v>2855790.61786307</v>
      </c>
      <c r="E30" s="50" t="n">
        <f aca="false">D30*Assumptions!B27</f>
        <v>228463.249429045</v>
      </c>
      <c r="F30" s="50" t="s">
        <v>135</v>
      </c>
      <c r="G30" s="50" t="s">
        <v>135</v>
      </c>
      <c r="H30" s="51" t="n">
        <f aca="false">D30+E30+F30+G30</f>
        <v>3084253.86729211</v>
      </c>
      <c r="I30" s="12"/>
    </row>
    <row r="31" customFormat="false" ht="15" hidden="false" customHeight="true" outlineLevel="0" collapsed="false">
      <c r="A31" s="47" t="n">
        <v>29</v>
      </c>
      <c r="B31" s="47" t="n">
        <v>64</v>
      </c>
      <c r="C31" s="48" t="s">
        <v>137</v>
      </c>
      <c r="D31" s="49" t="n">
        <f aca="false">H30</f>
        <v>3084253.86729211</v>
      </c>
      <c r="E31" s="50" t="n">
        <f aca="false">D31*Assumptions!B27</f>
        <v>246740.309383369</v>
      </c>
      <c r="F31" s="50" t="s">
        <v>135</v>
      </c>
      <c r="G31" s="50" t="s">
        <v>135</v>
      </c>
      <c r="H31" s="51" t="n">
        <f aca="false">D31+E31+F31+G31</f>
        <v>3330994.17667548</v>
      </c>
      <c r="I31" s="12"/>
    </row>
    <row r="32" customFormat="false" ht="15" hidden="false" customHeight="true" outlineLevel="0" collapsed="false">
      <c r="A32" s="47" t="n">
        <v>30</v>
      </c>
      <c r="B32" s="47" t="n">
        <v>65</v>
      </c>
      <c r="C32" s="48" t="s">
        <v>137</v>
      </c>
      <c r="D32" s="49" t="n">
        <f aca="false">H31</f>
        <v>3330994.17667548</v>
      </c>
      <c r="E32" s="50" t="n">
        <f aca="false">D32*Assumptions!B27</f>
        <v>266479.534134039</v>
      </c>
      <c r="F32" s="50" t="s">
        <v>135</v>
      </c>
      <c r="G32" s="50" t="s">
        <v>135</v>
      </c>
      <c r="H32" s="51" t="n">
        <f aca="false">D32+E32+F32+G32</f>
        <v>3597473.71080952</v>
      </c>
      <c r="I32" s="12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5"/>
    <col collapsed="false" customWidth="true" hidden="false" outlineLevel="0" max="6" min="3" style="1" width="16"/>
  </cols>
  <sheetData>
    <row r="1" customFormat="false" ht="19.5" hidden="false" customHeight="true" outlineLevel="0" collapsed="false">
      <c r="A1" s="26" t="s">
        <v>143</v>
      </c>
      <c r="B1" s="26"/>
      <c r="C1" s="26"/>
      <c r="D1" s="26"/>
      <c r="E1" s="26"/>
      <c r="F1" s="26"/>
    </row>
    <row r="2" customFormat="false" ht="15" hidden="false" customHeight="true" outlineLevel="0" collapsed="false">
      <c r="A2" s="4" t="s">
        <v>144</v>
      </c>
      <c r="B2" s="4"/>
      <c r="C2" s="4"/>
      <c r="D2" s="4"/>
      <c r="E2" s="4"/>
      <c r="F2" s="31" t="n">
        <v>814221</v>
      </c>
    </row>
    <row r="3" customFormat="false" ht="15" hidden="false" customHeight="true" outlineLevel="0" collapsed="false">
      <c r="A3" s="54" t="s">
        <v>145</v>
      </c>
      <c r="B3" s="54"/>
      <c r="C3" s="54"/>
      <c r="D3" s="54"/>
      <c r="E3" s="54"/>
      <c r="F3" s="8" t="n">
        <v>814221</v>
      </c>
    </row>
    <row r="4" customFormat="false" ht="15" hidden="false" customHeight="true" outlineLevel="0" collapsed="false">
      <c r="A4" s="6" t="s">
        <v>146</v>
      </c>
      <c r="B4" s="6"/>
      <c r="C4" s="6"/>
      <c r="D4" s="6"/>
      <c r="E4" s="6"/>
      <c r="F4" s="6"/>
    </row>
    <row r="6" customFormat="false" ht="15" hidden="false" customHeight="true" outlineLevel="0" collapsed="false">
      <c r="A6" s="37" t="s">
        <v>125</v>
      </c>
      <c r="B6" s="37" t="s">
        <v>23</v>
      </c>
      <c r="C6" s="37" t="s">
        <v>127</v>
      </c>
      <c r="D6" s="37" t="s">
        <v>147</v>
      </c>
      <c r="E6" s="37" t="s">
        <v>148</v>
      </c>
      <c r="F6" s="37" t="s">
        <v>132</v>
      </c>
    </row>
    <row r="7" customFormat="false" ht="15" hidden="false" customHeight="true" outlineLevel="0" collapsed="false">
      <c r="A7" s="55" t="n">
        <v>1</v>
      </c>
      <c r="B7" s="55" t="n">
        <v>36</v>
      </c>
      <c r="C7" s="20" t="n">
        <v>966901</v>
      </c>
      <c r="D7" s="20"/>
      <c r="E7" s="20" t="n">
        <v>69120</v>
      </c>
      <c r="F7" s="20" t="n">
        <v>952424</v>
      </c>
    </row>
    <row r="8" customFormat="false" ht="15" hidden="false" customHeight="true" outlineLevel="0" collapsed="false">
      <c r="A8" s="55" t="n">
        <v>2</v>
      </c>
      <c r="B8" s="55" t="n">
        <v>37</v>
      </c>
      <c r="C8" s="56" t="s">
        <v>149</v>
      </c>
      <c r="D8" s="20"/>
      <c r="E8" s="57" t="n">
        <f aca="false">(D8+80000)*Assumptions!B46</f>
        <v>4552</v>
      </c>
      <c r="F8" s="20" t="n">
        <v>937102</v>
      </c>
      <c r="G8" s="56" t="n">
        <v>80000</v>
      </c>
      <c r="H8" s="58" t="n">
        <f aca="false">D8+G8-F8</f>
        <v>-857102</v>
      </c>
    </row>
    <row r="9" customFormat="false" ht="15" hidden="false" customHeight="true" outlineLevel="0" collapsed="false">
      <c r="A9" s="55" t="n">
        <v>3</v>
      </c>
      <c r="B9" s="55" t="n">
        <v>38</v>
      </c>
      <c r="C9" s="56" t="s">
        <v>150</v>
      </c>
      <c r="D9" s="59" t="n">
        <v>140000</v>
      </c>
      <c r="E9" s="57" t="n">
        <f aca="false">(D9+60000)*Assumptions!B46</f>
        <v>11380</v>
      </c>
      <c r="F9" s="20" t="n">
        <v>1069061</v>
      </c>
      <c r="G9" s="56" t="n">
        <v>60000</v>
      </c>
      <c r="H9" s="58" t="n">
        <f aca="false">D9+G9-F9</f>
        <v>-869061</v>
      </c>
    </row>
    <row r="10" customFormat="false" ht="15" hidden="false" customHeight="true" outlineLevel="0" collapsed="false">
      <c r="A10" s="55" t="n">
        <v>4</v>
      </c>
      <c r="B10" s="55" t="n">
        <v>39</v>
      </c>
      <c r="C10" s="20" t="n">
        <v>1069061</v>
      </c>
      <c r="D10" s="20"/>
      <c r="E10" s="20" t="n">
        <v>69120</v>
      </c>
      <c r="F10" s="20" t="n">
        <v>1060551</v>
      </c>
    </row>
    <row r="11" customFormat="false" ht="15" hidden="false" customHeight="true" outlineLevel="0" collapsed="false">
      <c r="A11" s="55" t="n">
        <v>5</v>
      </c>
      <c r="B11" s="55" t="n">
        <v>40</v>
      </c>
      <c r="C11" s="20" t="n">
        <v>1060551</v>
      </c>
      <c r="D11" s="20"/>
      <c r="E11" s="20" t="n">
        <v>69120</v>
      </c>
      <c r="F11" s="20" t="n">
        <v>1051544</v>
      </c>
    </row>
    <row r="12" customFormat="false" ht="15" hidden="false" customHeight="true" outlineLevel="0" collapsed="false">
      <c r="A12" s="55" t="n">
        <v>6</v>
      </c>
      <c r="B12" s="55" t="n">
        <v>41</v>
      </c>
      <c r="C12" s="20" t="n">
        <v>1051544</v>
      </c>
      <c r="D12" s="20"/>
      <c r="E12" s="20" t="n">
        <v>69120</v>
      </c>
      <c r="F12" s="20" t="n">
        <v>1042011</v>
      </c>
    </row>
    <row r="13" customFormat="false" ht="15" hidden="false" customHeight="true" outlineLevel="0" collapsed="false">
      <c r="A13" s="55" t="n">
        <v>7</v>
      </c>
      <c r="B13" s="55" t="n">
        <v>42</v>
      </c>
      <c r="C13" s="20" t="n">
        <v>1042011</v>
      </c>
      <c r="D13" s="20"/>
      <c r="E13" s="20" t="n">
        <v>69120</v>
      </c>
      <c r="F13" s="20" t="n">
        <v>1031921</v>
      </c>
    </row>
    <row r="14" customFormat="false" ht="15" hidden="false" customHeight="true" outlineLevel="0" collapsed="false">
      <c r="A14" s="55" t="n">
        <v>8</v>
      </c>
      <c r="B14" s="55" t="n">
        <v>43</v>
      </c>
      <c r="C14" s="20" t="n">
        <v>1031921</v>
      </c>
      <c r="D14" s="20"/>
      <c r="E14" s="20" t="n">
        <v>69120</v>
      </c>
      <c r="F14" s="20" t="n">
        <v>1021242</v>
      </c>
    </row>
    <row r="15" customFormat="false" ht="15" hidden="false" customHeight="true" outlineLevel="0" collapsed="false">
      <c r="A15" s="55" t="n">
        <v>9</v>
      </c>
      <c r="B15" s="55" t="n">
        <v>44</v>
      </c>
      <c r="C15" s="20" t="n">
        <v>1021242</v>
      </c>
      <c r="D15" s="20"/>
      <c r="E15" s="20" t="n">
        <v>69120</v>
      </c>
      <c r="F15" s="20" t="n">
        <v>1009939</v>
      </c>
    </row>
    <row r="16" customFormat="false" ht="15" hidden="false" customHeight="true" outlineLevel="0" collapsed="false">
      <c r="A16" s="23" t="n">
        <v>10</v>
      </c>
      <c r="B16" s="23" t="n">
        <v>45</v>
      </c>
      <c r="C16" s="59" t="n">
        <v>1009939</v>
      </c>
      <c r="D16" s="59"/>
      <c r="E16" s="59" t="n">
        <v>69120</v>
      </c>
      <c r="F16" s="59" t="n">
        <v>997975</v>
      </c>
    </row>
    <row r="17" customFormat="false" ht="15" hidden="false" customHeight="true" outlineLevel="0" collapsed="false">
      <c r="A17" s="23" t="n">
        <v>11</v>
      </c>
      <c r="B17" s="23" t="n">
        <v>46</v>
      </c>
      <c r="C17" s="59" t="n">
        <v>997975</v>
      </c>
      <c r="D17" s="59"/>
      <c r="E17" s="59" t="n">
        <v>69120</v>
      </c>
      <c r="F17" s="59" t="n">
        <v>985313</v>
      </c>
    </row>
    <row r="18" customFormat="false" ht="15" hidden="false" customHeight="true" outlineLevel="0" collapsed="false">
      <c r="A18" s="23" t="n">
        <v>12</v>
      </c>
      <c r="B18" s="23" t="n">
        <v>47</v>
      </c>
      <c r="C18" s="59" t="n">
        <v>985313</v>
      </c>
      <c r="D18" s="59"/>
      <c r="E18" s="59" t="n">
        <v>69120</v>
      </c>
      <c r="F18" s="59" t="n">
        <v>971912</v>
      </c>
    </row>
    <row r="19" customFormat="false" ht="15" hidden="false" customHeight="true" outlineLevel="0" collapsed="false">
      <c r="A19" s="23" t="n">
        <v>13</v>
      </c>
      <c r="B19" s="23" t="n">
        <v>48</v>
      </c>
      <c r="C19" s="59" t="n">
        <v>971912</v>
      </c>
      <c r="D19" s="59"/>
      <c r="E19" s="59" t="n">
        <v>69120</v>
      </c>
      <c r="F19" s="59" t="n">
        <v>957727</v>
      </c>
    </row>
    <row r="20" customFormat="false" ht="15" hidden="false" customHeight="true" outlineLevel="0" collapsed="false">
      <c r="A20" s="23" t="n">
        <v>14</v>
      </c>
      <c r="B20" s="23" t="n">
        <v>49</v>
      </c>
      <c r="C20" s="59" t="n">
        <v>957727</v>
      </c>
      <c r="D20" s="59"/>
      <c r="E20" s="59" t="n">
        <v>69120</v>
      </c>
      <c r="F20" s="59" t="n">
        <v>942715</v>
      </c>
    </row>
    <row r="21" customFormat="false" ht="15" hidden="false" customHeight="true" outlineLevel="0" collapsed="false">
      <c r="A21" s="53" t="n">
        <v>15</v>
      </c>
      <c r="B21" s="53" t="n">
        <v>50</v>
      </c>
      <c r="C21" s="60" t="n">
        <v>942715</v>
      </c>
      <c r="D21" s="59" t="n">
        <v>45000</v>
      </c>
      <c r="E21" s="60" t="n">
        <v>69120</v>
      </c>
      <c r="F21" s="60" t="n">
        <v>974453</v>
      </c>
    </row>
    <row r="22" customFormat="false" ht="15" hidden="false" customHeight="true" outlineLevel="0" collapsed="false">
      <c r="A22" s="53" t="n">
        <v>16</v>
      </c>
      <c r="B22" s="53" t="n">
        <v>51</v>
      </c>
      <c r="C22" s="60" t="n">
        <v>974453</v>
      </c>
      <c r="D22" s="60"/>
      <c r="E22" s="60" t="n">
        <v>69120</v>
      </c>
      <c r="F22" s="60" t="n">
        <v>960417</v>
      </c>
    </row>
    <row r="23" customFormat="false" ht="15" hidden="false" customHeight="true" outlineLevel="0" collapsed="false">
      <c r="A23" s="53" t="n">
        <v>17</v>
      </c>
      <c r="B23" s="53" t="n">
        <v>52</v>
      </c>
      <c r="C23" s="60" t="n">
        <v>960417</v>
      </c>
      <c r="D23" s="60"/>
      <c r="E23" s="60" t="n">
        <v>69120</v>
      </c>
      <c r="F23" s="60" t="n">
        <v>945562</v>
      </c>
    </row>
    <row r="24" customFormat="false" ht="15" hidden="false" customHeight="true" outlineLevel="0" collapsed="false">
      <c r="A24" s="53" t="n">
        <v>18</v>
      </c>
      <c r="B24" s="53" t="n">
        <v>53</v>
      </c>
      <c r="C24" s="60" t="n">
        <v>945562</v>
      </c>
      <c r="D24" s="60"/>
      <c r="E24" s="60" t="n">
        <v>69120</v>
      </c>
      <c r="F24" s="60" t="n">
        <v>929838</v>
      </c>
    </row>
    <row r="25" customFormat="false" ht="15" hidden="false" customHeight="true" outlineLevel="0" collapsed="false">
      <c r="A25" s="53" t="n">
        <v>19</v>
      </c>
      <c r="B25" s="53" t="n">
        <v>54</v>
      </c>
      <c r="C25" s="60" t="n">
        <v>929838</v>
      </c>
      <c r="D25" s="60"/>
      <c r="E25" s="60" t="n">
        <v>69120</v>
      </c>
      <c r="F25" s="60" t="n">
        <v>913196</v>
      </c>
    </row>
    <row r="26" customFormat="false" ht="15" hidden="false" customHeight="true" outlineLevel="0" collapsed="false">
      <c r="A26" s="53" t="n">
        <v>20</v>
      </c>
      <c r="B26" s="53" t="n">
        <v>55</v>
      </c>
      <c r="C26" s="60" t="n">
        <v>913196</v>
      </c>
      <c r="D26" s="60"/>
      <c r="E26" s="60" t="n">
        <v>69120</v>
      </c>
      <c r="F26" s="60" t="n">
        <v>895583</v>
      </c>
    </row>
    <row r="27" customFormat="false" ht="15" hidden="false" customHeight="true" outlineLevel="0" collapsed="false">
      <c r="A27" s="53" t="n">
        <v>21</v>
      </c>
      <c r="B27" s="53" t="n">
        <v>56</v>
      </c>
      <c r="C27" s="60" t="n">
        <v>895583</v>
      </c>
      <c r="D27" s="60"/>
      <c r="E27" s="60" t="n">
        <v>69120</v>
      </c>
      <c r="F27" s="60" t="n">
        <v>876940</v>
      </c>
    </row>
    <row r="28" customFormat="false" ht="15" hidden="false" customHeight="true" outlineLevel="0" collapsed="false">
      <c r="A28" s="53" t="n">
        <v>22</v>
      </c>
      <c r="B28" s="53" t="n">
        <v>57</v>
      </c>
      <c r="C28" s="60" t="n">
        <v>876940</v>
      </c>
      <c r="D28" s="60"/>
      <c r="E28" s="60" t="n">
        <v>69120</v>
      </c>
      <c r="F28" s="60" t="n">
        <v>857209</v>
      </c>
    </row>
    <row r="29" customFormat="false" ht="15" hidden="false" customHeight="true" outlineLevel="0" collapsed="false">
      <c r="A29" s="53" t="n">
        <v>23</v>
      </c>
      <c r="B29" s="53" t="n">
        <v>58</v>
      </c>
      <c r="C29" s="60" t="n">
        <v>857209</v>
      </c>
      <c r="D29" s="60"/>
      <c r="E29" s="60" t="n">
        <v>69120</v>
      </c>
      <c r="F29" s="60" t="n">
        <v>836325</v>
      </c>
    </row>
    <row r="30" customFormat="false" ht="15" hidden="false" customHeight="true" outlineLevel="0" collapsed="false">
      <c r="A30" s="53" t="n">
        <v>24</v>
      </c>
      <c r="B30" s="53" t="n">
        <v>59</v>
      </c>
      <c r="C30" s="60" t="n">
        <v>836325</v>
      </c>
      <c r="D30" s="60"/>
      <c r="E30" s="60" t="n">
        <v>69120</v>
      </c>
      <c r="F30" s="60" t="n">
        <v>814221</v>
      </c>
    </row>
    <row r="31" customFormat="false" ht="15" hidden="false" customHeight="true" outlineLevel="0" collapsed="false">
      <c r="A31" s="55" t="n">
        <v>25</v>
      </c>
      <c r="B31" s="55" t="n">
        <v>60</v>
      </c>
      <c r="C31" s="20" t="n">
        <v>814221</v>
      </c>
      <c r="D31" s="20"/>
      <c r="E31" s="20" t="n">
        <v>69120</v>
      </c>
      <c r="F31" s="18" t="n">
        <v>0</v>
      </c>
    </row>
    <row r="32" customFormat="false" ht="15" hidden="false" customHeight="true" outlineLevel="0" collapsed="false">
      <c r="A32" s="53" t="n">
        <v>26</v>
      </c>
      <c r="B32" s="53" t="n">
        <v>61</v>
      </c>
      <c r="C32" s="60" t="n">
        <v>0</v>
      </c>
      <c r="D32" s="60"/>
      <c r="E32" s="60" t="n">
        <v>5760</v>
      </c>
      <c r="F32" s="60" t="n">
        <v>0</v>
      </c>
    </row>
    <row r="33" customFormat="false" ht="15" hidden="false" customHeight="true" outlineLevel="0" collapsed="false">
      <c r="A33" s="53" t="n">
        <v>27</v>
      </c>
      <c r="B33" s="53" t="n">
        <v>62</v>
      </c>
      <c r="C33" s="60" t="n">
        <v>0</v>
      </c>
      <c r="D33" s="60"/>
      <c r="E33" s="60" t="n">
        <v>5760</v>
      </c>
      <c r="F33" s="60" t="n">
        <v>0</v>
      </c>
    </row>
    <row r="34" customFormat="false" ht="15" hidden="false" customHeight="true" outlineLevel="0" collapsed="false">
      <c r="A34" s="53" t="n">
        <v>28</v>
      </c>
      <c r="B34" s="53" t="n">
        <v>63</v>
      </c>
      <c r="C34" s="60" t="n">
        <v>0</v>
      </c>
      <c r="D34" s="60"/>
      <c r="E34" s="60" t="n">
        <v>5760</v>
      </c>
      <c r="F34" s="60" t="n">
        <v>0</v>
      </c>
    </row>
    <row r="35" customFormat="false" ht="15" hidden="false" customHeight="true" outlineLevel="0" collapsed="false">
      <c r="A35" s="53" t="n">
        <v>29</v>
      </c>
      <c r="B35" s="53" t="n">
        <v>64</v>
      </c>
      <c r="C35" s="60" t="n">
        <v>0</v>
      </c>
      <c r="D35" s="60"/>
      <c r="E35" s="60" t="n">
        <v>5760</v>
      </c>
      <c r="F35" s="60" t="n">
        <v>0</v>
      </c>
    </row>
    <row r="36" customFormat="false" ht="15" hidden="false" customHeight="true" outlineLevel="0" collapsed="false">
      <c r="A36" s="53" t="n">
        <v>30</v>
      </c>
      <c r="B36" s="53" t="n">
        <v>65</v>
      </c>
      <c r="C36" s="60" t="n">
        <v>0</v>
      </c>
      <c r="D36" s="60"/>
      <c r="E36" s="60" t="n">
        <v>5760</v>
      </c>
      <c r="F36" s="60" t="n">
        <v>0</v>
      </c>
    </row>
  </sheetData>
  <mergeCells count="4">
    <mergeCell ref="A1:F1"/>
    <mergeCell ref="A2:E2"/>
    <mergeCell ref="A3:E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0"/>
    <col collapsed="false" customWidth="true" hidden="false" outlineLevel="0" max="4" min="4" style="1" width="12"/>
    <col collapsed="false" customWidth="true" hidden="false" outlineLevel="0" max="7" min="5" style="1" width="15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1" min="10" style="1" width="15"/>
    <col collapsed="false" customWidth="true" hidden="false" outlineLevel="0" max="12" min="12" style="1" width="10"/>
  </cols>
  <sheetData>
    <row r="1" customFormat="false" ht="19.5" hidden="false" customHeight="true" outlineLevel="0" collapsed="false">
      <c r="A1" s="26" t="s">
        <v>151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customFormat="false" ht="15" hidden="false" customHeight="true" outlineLevel="0" collapsed="false">
      <c r="A2" s="14" t="s">
        <v>152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customFormat="false" ht="15" hidden="false" customHeight="true" outlineLevel="0" collapsed="false">
      <c r="A3" s="6" t="s">
        <v>153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5" customFormat="false" ht="23.25" hidden="false" customHeight="true" outlineLevel="0" collapsed="false">
      <c r="A5" s="37" t="s">
        <v>154</v>
      </c>
      <c r="B5" s="61" t="s">
        <v>155</v>
      </c>
      <c r="C5" s="61" t="s">
        <v>156</v>
      </c>
      <c r="D5" s="61" t="s">
        <v>157</v>
      </c>
      <c r="E5" s="61" t="s">
        <v>158</v>
      </c>
      <c r="F5" s="61" t="s">
        <v>159</v>
      </c>
      <c r="G5" s="61" t="s">
        <v>160</v>
      </c>
      <c r="H5" s="61" t="s">
        <v>161</v>
      </c>
      <c r="I5" s="37" t="s">
        <v>162</v>
      </c>
      <c r="J5" s="37" t="s">
        <v>163</v>
      </c>
      <c r="K5" s="61" t="s">
        <v>164</v>
      </c>
      <c r="L5" s="37" t="s">
        <v>165</v>
      </c>
    </row>
    <row r="6" customFormat="false" ht="15" hidden="false" customHeight="true" outlineLevel="0" collapsed="false">
      <c r="A6" s="62" t="s">
        <v>166</v>
      </c>
      <c r="B6" s="63" t="n">
        <v>50</v>
      </c>
      <c r="C6" s="64" t="n">
        <v>0.1</v>
      </c>
      <c r="D6" s="18" t="n">
        <v>20000</v>
      </c>
      <c r="E6" s="18" t="n">
        <v>1324706</v>
      </c>
      <c r="F6" s="18" t="n">
        <v>2010414</v>
      </c>
      <c r="G6" s="18" t="n">
        <v>1149376</v>
      </c>
      <c r="H6" s="18" t="n">
        <v>102332</v>
      </c>
      <c r="I6" s="65" t="n">
        <v>0.0509009587080074</v>
      </c>
      <c r="J6" s="18" t="n">
        <v>345244</v>
      </c>
      <c r="K6" s="18" t="n">
        <v>5120852</v>
      </c>
      <c r="L6" s="66" t="s">
        <v>167</v>
      </c>
    </row>
    <row r="7" customFormat="false" ht="15" hidden="false" customHeight="true" outlineLevel="0" collapsed="false">
      <c r="A7" s="14" t="s">
        <v>168</v>
      </c>
      <c r="B7" s="67" t="n">
        <v>50</v>
      </c>
      <c r="C7" s="68" t="n">
        <v>0.07</v>
      </c>
      <c r="D7" s="69" t="n">
        <v>20000</v>
      </c>
      <c r="E7" s="69" t="n">
        <v>1071025</v>
      </c>
      <c r="F7" s="69" t="n">
        <v>1380850</v>
      </c>
      <c r="G7" s="69" t="n">
        <v>930900</v>
      </c>
      <c r="H7" s="69" t="n">
        <v>102332</v>
      </c>
      <c r="I7" s="70" t="n">
        <v>0.0741079769707065</v>
      </c>
      <c r="J7" s="69" t="n">
        <v>-36846</v>
      </c>
      <c r="K7" s="69" t="n">
        <v>2035781</v>
      </c>
      <c r="L7" s="71" t="s">
        <v>169</v>
      </c>
    </row>
    <row r="8" customFormat="false" ht="15" hidden="false" customHeight="true" outlineLevel="0" collapsed="false">
      <c r="A8" s="9" t="s">
        <v>170</v>
      </c>
      <c r="B8" s="72" t="n">
        <v>50</v>
      </c>
      <c r="C8" s="73" t="n">
        <v>0.1</v>
      </c>
      <c r="D8" s="35" t="n">
        <v>10000</v>
      </c>
      <c r="E8" s="35" t="n">
        <v>1152683</v>
      </c>
      <c r="F8" s="35" t="n">
        <v>1697617</v>
      </c>
      <c r="G8" s="35" t="n">
        <v>1149376</v>
      </c>
      <c r="H8" s="35" t="n">
        <v>102332</v>
      </c>
      <c r="I8" s="74" t="n">
        <v>0.0602797922028349</v>
      </c>
      <c r="J8" s="35" t="n">
        <v>335244</v>
      </c>
      <c r="K8" s="35" t="n">
        <v>4309537</v>
      </c>
      <c r="L8" s="66" t="s">
        <v>167</v>
      </c>
    </row>
    <row r="9" customFormat="false" ht="15" hidden="false" customHeight="true" outlineLevel="0" collapsed="false">
      <c r="A9" s="14" t="s">
        <v>171</v>
      </c>
      <c r="B9" s="67" t="n">
        <v>52</v>
      </c>
      <c r="C9" s="68" t="n">
        <v>0.1</v>
      </c>
      <c r="D9" s="69" t="n">
        <v>20000</v>
      </c>
      <c r="E9" s="69" t="n">
        <v>1324706</v>
      </c>
      <c r="F9" s="69" t="n">
        <v>2446038</v>
      </c>
      <c r="G9" s="69" t="n">
        <v>1394118</v>
      </c>
      <c r="H9" s="69" t="n">
        <v>106459</v>
      </c>
      <c r="I9" s="75" t="n">
        <v>0.0435230360280584</v>
      </c>
      <c r="J9" s="69" t="n">
        <v>345244</v>
      </c>
      <c r="K9" s="69" t="n">
        <v>5713665</v>
      </c>
      <c r="L9" s="66" t="s">
        <v>167</v>
      </c>
    </row>
    <row r="10" customFormat="false" ht="15" hidden="false" customHeight="true" outlineLevel="0" collapsed="false">
      <c r="A10" s="9" t="s">
        <v>172</v>
      </c>
      <c r="B10" s="72" t="n">
        <v>50</v>
      </c>
      <c r="C10" s="73" t="n">
        <v>0.07</v>
      </c>
      <c r="D10" s="35" t="n">
        <v>10000</v>
      </c>
      <c r="E10" s="35" t="n">
        <v>921740</v>
      </c>
      <c r="F10" s="35" t="n">
        <v>1138165</v>
      </c>
      <c r="G10" s="35" t="n">
        <v>930900</v>
      </c>
      <c r="H10" s="35" t="n">
        <v>102332</v>
      </c>
      <c r="I10" s="70" t="n">
        <v>0.0899096352462077</v>
      </c>
      <c r="J10" s="35" t="n">
        <v>-706421</v>
      </c>
      <c r="K10" s="35" t="n">
        <v>1558384</v>
      </c>
      <c r="L10" s="71" t="s">
        <v>169</v>
      </c>
    </row>
    <row r="11" customFormat="false" ht="15" hidden="false" customHeight="true" outlineLevel="0" collapsed="false">
      <c r="A11" s="14" t="s">
        <v>173</v>
      </c>
      <c r="B11" s="67" t="n">
        <v>52</v>
      </c>
      <c r="C11" s="68" t="n">
        <v>0.07</v>
      </c>
      <c r="D11" s="69" t="n">
        <v>20000</v>
      </c>
      <c r="E11" s="69" t="n">
        <v>1071025</v>
      </c>
      <c r="F11" s="69" t="n">
        <v>1588004</v>
      </c>
      <c r="G11" s="69" t="n">
        <v>1097955</v>
      </c>
      <c r="H11" s="69" t="n">
        <v>106459</v>
      </c>
      <c r="I11" s="74" t="n">
        <v>0.0670395036788321</v>
      </c>
      <c r="J11" s="69" t="n">
        <v>336754</v>
      </c>
      <c r="K11" s="69" t="n">
        <v>2498250</v>
      </c>
      <c r="L11" s="66" t="s">
        <v>167</v>
      </c>
    </row>
    <row r="12" customFormat="false" ht="15" hidden="false" customHeight="true" outlineLevel="0" collapsed="false">
      <c r="A12" s="6" t="s">
        <v>174</v>
      </c>
      <c r="B12" s="43" t="n">
        <v>52</v>
      </c>
      <c r="C12" s="76" t="n">
        <v>0.07</v>
      </c>
      <c r="D12" s="59" t="n">
        <v>10000</v>
      </c>
      <c r="E12" s="59" t="n">
        <v>921740</v>
      </c>
      <c r="F12" s="59" t="n">
        <v>1293161</v>
      </c>
      <c r="G12" s="59" t="n">
        <v>1097955</v>
      </c>
      <c r="H12" s="59" t="n">
        <v>106459</v>
      </c>
      <c r="I12" s="70" t="n">
        <v>0.0823246293384969</v>
      </c>
      <c r="J12" s="59" t="n">
        <v>-214967</v>
      </c>
      <c r="K12" s="59" t="n">
        <v>1991656</v>
      </c>
      <c r="L12" s="71" t="s">
        <v>169</v>
      </c>
    </row>
    <row r="15" customFormat="false" ht="19.5" hidden="false" customHeight="true" outlineLevel="0" collapsed="false">
      <c r="A15" s="77" t="s">
        <v>175</v>
      </c>
      <c r="B15" s="77"/>
      <c r="C15" s="77"/>
      <c r="D15" s="77"/>
    </row>
    <row r="16" customFormat="false" ht="15" hidden="false" customHeight="true" outlineLevel="0" collapsed="false">
      <c r="A16" s="13" t="s">
        <v>176</v>
      </c>
      <c r="B16" s="13"/>
      <c r="C16" s="13"/>
      <c r="D16" s="13"/>
    </row>
    <row r="17" customFormat="false" ht="15" hidden="false" customHeight="true" outlineLevel="0" collapsed="false">
      <c r="A17" s="6" t="s">
        <v>177</v>
      </c>
      <c r="B17" s="6"/>
      <c r="C17" s="6"/>
      <c r="D17" s="6"/>
    </row>
    <row r="18" customFormat="false" ht="15" hidden="false" customHeight="true" outlineLevel="0" collapsed="false">
      <c r="A18" s="48" t="s">
        <v>178</v>
      </c>
      <c r="B18" s="48"/>
      <c r="C18" s="48"/>
      <c r="D18" s="48"/>
    </row>
  </sheetData>
  <mergeCells count="7">
    <mergeCell ref="A1:L1"/>
    <mergeCell ref="A2:L2"/>
    <mergeCell ref="A3:L3"/>
    <mergeCell ref="A15:D15"/>
    <mergeCell ref="A16:D16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2026-02-24T00:23:10Z</dcterms:created>
  <dc:creator>openpyxl</dc:creator>
  <dc:description/>
  <dc:language>en-US</dc:language>
  <cp:lastModifiedBy/>
  <dcterms:modified xsi:type="dcterms:W3CDTF">2026-03-01T02:01:06Z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